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_Dominance_Analysis" sheetId="1" state="visible" r:id="rId1"/>
    <sheet name="USD_Dominance_Score" sheetId="2" state="visible" r:id="rId2"/>
    <sheet name="SWIFT_Integration" sheetId="3" state="visible" r:id="rId3"/>
    <sheet name="BTC_USD_Share" sheetId="4" state="visible" r:id="rId4"/>
    <sheet name="BTC_Forecast" sheetId="5" state="visible" r:id="rId5"/>
    <sheet name="China_vs_BRICS" sheetId="6" state="visible" r:id="rId6"/>
    <sheet name="Gold_BRICS_Forecast" sheetId="7" state="visible" r:id="rId7"/>
    <sheet name="Oil_BRICS_Forecast" sheetId="8" state="visible" r:id="rId8"/>
    <sheet name="VAR_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0.00&quot;%&quot;"/>
    <numFmt numFmtId="167" formatCode="0.0&quot;%&quot;"/>
    <numFmt numFmtId="168" formatCode="$#,##0"/>
    <numFmt numFmtId="169" formatCode="0.0000"/>
  </numFmts>
  <fonts count="21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C00000"/>
      <sz val="13"/>
    </font>
    <font>
      <b val="1"/>
      <color rgb="00366092"/>
      <sz val="12"/>
    </font>
    <font>
      <b val="1"/>
      <sz val="11"/>
    </font>
    <font>
      <b val="1"/>
      <color rgb="001F4E78"/>
      <sz val="10"/>
    </font>
    <font>
      <sz val="10"/>
    </font>
    <font>
      <b val="1"/>
      <color rgb="00C00000"/>
      <sz val="11"/>
    </font>
    <font>
      <b val="1"/>
      <color rgb="00C00000"/>
      <sz val="10"/>
    </font>
    <font>
      <b val="1"/>
      <color rgb="00FFFFFF"/>
      <sz val="11"/>
    </font>
    <font>
      <b val="1"/>
      <color rgb="001F4E78"/>
    </font>
    <font>
      <b val="1"/>
      <color rgb="00366092"/>
      <sz val="14"/>
    </font>
    <font>
      <i val="1"/>
      <sz val="10"/>
    </font>
    <font>
      <b val="1"/>
      <color rgb="009C0006"/>
    </font>
    <font>
      <b val="1"/>
      <color rgb="00006100"/>
    </font>
    <font>
      <b val="1"/>
      <sz val="10"/>
    </font>
    <font>
      <i val="1"/>
      <color rgb="00595959"/>
      <sz val="9"/>
    </font>
    <font>
      <color rgb="00006100"/>
    </font>
    <font>
      <color rgb="009C0006"/>
    </font>
    <font>
      <b val="1"/>
      <color rgb="00FF0000"/>
    </font>
    <font>
      <color rgb="0059595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375623"/>
        <bgColor rgb="00375623"/>
      </patternFill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2" fontId="13" fillId="5" borderId="0" pivotButton="0" quotePrefix="0" xfId="0"/>
    <xf numFmtId="2" fontId="14" fillId="6" borderId="0" pivotButton="0" quotePrefix="0" xfId="0"/>
    <xf numFmtId="2" fontId="10" fillId="7" borderId="0" pivotButton="0" quotePrefix="0" xfId="0"/>
    <xf numFmtId="2" fontId="0" fillId="7" borderId="0" pivotButton="0" quotePrefix="0" xfId="0"/>
    <xf numFmtId="0" fontId="15" fillId="0" borderId="0" pivotButton="0" quotePrefix="0" xfId="0"/>
    <xf numFmtId="4" fontId="0" fillId="0" borderId="0" pivotButton="0" quotePrefix="0" xfId="0"/>
    <xf numFmtId="0" fontId="16" fillId="0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6" fontId="0" fillId="6" borderId="0" pivotButton="0" quotePrefix="0" xfId="0"/>
    <xf numFmtId="166" fontId="10" fillId="7" borderId="0" pivotButton="0" quotePrefix="0" xfId="0"/>
    <xf numFmtId="166" fontId="0" fillId="7" borderId="0" pivotButton="0" quotePrefix="0" xfId="0"/>
    <xf numFmtId="0" fontId="19" fillId="0" borderId="0" pivotButton="0" quotePrefix="0" xfId="0"/>
    <xf numFmtId="2" fontId="18" fillId="0" borderId="0" pivotButton="0" quotePrefix="0" xfId="0"/>
    <xf numFmtId="2" fontId="20" fillId="0" borderId="0" pivotButton="0" quotePrefix="0" xfId="0"/>
    <xf numFmtId="0" fontId="9" fillId="8" borderId="0" applyAlignment="1" pivotButton="0" quotePrefix="0" xfId="0">
      <alignment horizontal="center" vertical="center" wrapText="1"/>
    </xf>
    <xf numFmtId="166" fontId="17" fillId="6" borderId="0" pivotButton="0" quotePrefix="0" xfId="0"/>
    <xf numFmtId="166" fontId="18" fillId="6" borderId="0" pivotButton="0" quotePrefix="0" xfId="0"/>
    <xf numFmtId="4" fontId="0" fillId="6" borderId="0" pivotButton="0" quotePrefix="0" xfId="0"/>
    <xf numFmtId="4" fontId="10" fillId="7" borderId="0" pivotButton="0" quotePrefix="0" xfId="0"/>
    <xf numFmtId="4" fontId="0" fillId="7" borderId="0" pivotButton="0" quotePrefix="0" xfId="0"/>
    <xf numFmtId="167" fontId="0" fillId="0" borderId="0" pivotButton="0" quotePrefix="0" xfId="0"/>
    <xf numFmtId="0" fontId="9" fillId="9" borderId="0" applyAlignment="1" pivotButton="0" quotePrefix="0" xfId="0">
      <alignment horizontal="center" vertical="center" wrapText="1"/>
    </xf>
    <xf numFmtId="168" fontId="0" fillId="0" borderId="0" pivotButton="0" quotePrefix="0" xfId="0"/>
    <xf numFmtId="3" fontId="0" fillId="0" borderId="0" pivotButton="0" quotePrefix="0" xfId="0"/>
    <xf numFmtId="169" fontId="0" fillId="6" borderId="0" pivotButton="0" quotePrefix="0" xfId="0"/>
    <xf numFmtId="0" fontId="14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SECTION D: PREDICTIVE ANALYSIS SUMMARY</t>
        </is>
      </c>
    </row>
    <row r="2">
      <c r="A2" s="2" t="inlineStr">
        <is>
          <t>Will USD Remain the Dominant Global Currency Post-July 2027?</t>
        </is>
      </c>
    </row>
    <row r="4">
      <c r="A4" s="3" t="inlineStr">
        <is>
          <t>EXECUTIVE SUMMARY</t>
        </is>
      </c>
    </row>
    <row r="5">
      <c r="A5" s="4" t="inlineStr">
        <is>
          <t>Based on 7-layer enhanced model: H-W forecasts + VAR + composite score + SWIFT:</t>
        </is>
      </c>
    </row>
    <row r="6">
      <c r="A6" t="inlineStr"/>
      <c r="B6" t="inlineStr"/>
    </row>
    <row r="7">
      <c r="A7" s="4" t="inlineStr">
        <is>
          <t>Composite USD Dominance Score (latest):</t>
        </is>
      </c>
      <c r="B7" s="5" t="inlineStr">
        <is>
          <t>78.1/100</t>
        </is>
      </c>
    </row>
    <row r="8">
      <c r="A8" t="inlineStr"/>
      <c r="B8" t="inlineStr">
        <is>
          <t xml:space="preserve">  Score &gt; 60 = USD dominant · 40-60 = contested · &lt; 40 = USD declining</t>
        </is>
      </c>
    </row>
    <row r="9">
      <c r="A9" t="inlineStr"/>
      <c r="B9" t="inlineStr"/>
    </row>
    <row r="10">
      <c r="A10" s="6" t="inlineStr">
        <is>
          <t>1. BTC USD Share %:</t>
        </is>
      </c>
      <c r="B10" s="7" t="inlineStr">
        <is>
          <t>USD holds 60-70% of BTC trading — stable but watch declining YoY Δ</t>
        </is>
      </c>
    </row>
    <row r="11">
      <c r="A11" s="6" t="inlineStr">
        <is>
          <t>2. BRICS Gold (BRICS vs CHN isolated):</t>
        </is>
      </c>
      <c r="B11" s="7" t="inlineStr">
        <is>
          <t>China drives 60%+ of BRICS gold buying — policy-driven, not broad-based</t>
        </is>
      </c>
    </row>
    <row r="12">
      <c r="A12" s="6" t="inlineStr">
        <is>
          <t>3. BRICS Oil (WTI-deflated):</t>
        </is>
      </c>
      <c r="B12" s="7" t="inlineStr">
        <is>
          <t>Real volume growth confirms de-dollarization in energy settlement</t>
        </is>
      </c>
    </row>
    <row r="13">
      <c r="A13" s="6" t="inlineStr">
        <is>
          <t>4. DXY Covariate:</t>
        </is>
      </c>
      <c r="B13" s="7" t="inlineStr">
        <is>
          <t>High DXY offsets BRICS hedging — USD still globally bid</t>
        </is>
      </c>
    </row>
    <row r="14">
      <c r="A14" s="6" t="inlineStr">
        <is>
          <t>5. SWIFT USD Share:</t>
        </is>
      </c>
      <c r="B14" s="7" t="inlineStr">
        <is>
          <t>~47% in 2024 — decade high, contradicting simple de-dollarization narrative</t>
        </is>
      </c>
    </row>
    <row r="15">
      <c r="A15" s="6" t="inlineStr">
        <is>
          <t>6. VAR Granger causality:</t>
        </is>
      </c>
      <c r="B15" s="7" t="inlineStr">
        <is>
          <t>See VAR_Analysis tab — identifies which indicators lead the others</t>
        </is>
      </c>
    </row>
    <row r="16">
      <c r="A16" t="inlineStr"/>
      <c r="B16" t="inlineStr"/>
    </row>
    <row r="17">
      <c r="A17" s="8" t="inlineStr">
        <is>
          <t>CONCLUSION:</t>
        </is>
      </c>
      <c r="B17" s="9" t="inlineStr">
        <is>
          <t>USD REMAINS DOMINANT (75% probability) through 2027 with reduced margin</t>
        </is>
      </c>
    </row>
    <row r="18">
      <c r="A18" t="inlineStr"/>
      <c r="B18" t="inlineStr">
        <is>
          <t xml:space="preserve">  2025-2027: USD holds but BRICS score pressure mounts (composite score trending -0.5/yr)</t>
        </is>
      </c>
    </row>
    <row r="19">
      <c r="A19" t="inlineStr"/>
      <c r="B19" t="inlineStr">
        <is>
          <t xml:space="preserve">  2027-2030: Multi-polar currency system if BRICS payment system launches</t>
        </is>
      </c>
    </row>
    <row r="21">
      <c r="A21" s="3" t="inlineStr">
        <is>
          <t>WORKBOOK NAVIGATION</t>
        </is>
      </c>
    </row>
    <row r="22">
      <c r="A22" s="10" t="inlineStr">
        <is>
          <t>Sheet</t>
        </is>
      </c>
      <c r="B22" s="10" t="inlineStr">
        <is>
          <t>Contents</t>
        </is>
      </c>
    </row>
    <row r="23">
      <c r="A23" s="11" t="inlineStr">
        <is>
          <t>USD_Dominance_Analysis</t>
        </is>
      </c>
      <c r="B23" t="inlineStr">
        <is>
          <t>This sheet — executive summary</t>
        </is>
      </c>
    </row>
    <row r="24">
      <c r="A24" s="11" t="inlineStr">
        <is>
          <t>USD_Dominance_Score</t>
        </is>
      </c>
      <c r="B24" t="inlineStr">
        <is>
          <t>Composite 0-100 index + 12-month H-W forecast</t>
        </is>
      </c>
    </row>
    <row r="25">
      <c r="A25" s="11" t="inlineStr">
        <is>
          <t>SWIFT_Integration</t>
        </is>
      </c>
      <c r="B25" t="inlineStr">
        <is>
          <t>SWIFT USD payment share — most direct measure</t>
        </is>
      </c>
    </row>
    <row r="26">
      <c r="A26" s="11" t="inlineStr">
        <is>
          <t>BTC_USD_Share</t>
        </is>
      </c>
      <c r="B26" t="inlineStr">
        <is>
          <t>BTC USD share % — relative USD crypto position</t>
        </is>
      </c>
    </row>
    <row r="27">
      <c r="A27" s="11" t="inlineStr">
        <is>
          <t>BTC_Forecast</t>
        </is>
      </c>
      <c r="B27" t="inlineStr">
        <is>
          <t>BTC USD volume — 3-MA + 6-MA + H-W + YoY</t>
        </is>
      </c>
    </row>
    <row r="28">
      <c r="A28" s="11" t="inlineStr">
        <is>
          <t>China_vs_BRICS</t>
        </is>
      </c>
      <c r="B28" t="inlineStr">
        <is>
          <t>China separated — is de-dollarization China-led or broad?</t>
        </is>
      </c>
    </row>
    <row r="29">
      <c r="A29" s="11" t="inlineStr">
        <is>
          <t>Gold_BRICS_Forecast</t>
        </is>
      </c>
      <c r="B29" t="inlineStr">
        <is>
          <t>Gold imports — spot-deflated + H-W 12-month</t>
        </is>
      </c>
    </row>
    <row r="30">
      <c r="A30" s="11" t="inlineStr">
        <is>
          <t>Oil_BRICS_Forecast</t>
        </is>
      </c>
      <c r="B30" t="inlineStr">
        <is>
          <t>Oil imports — WTI-deflated + H-W 12-month</t>
        </is>
      </c>
    </row>
    <row r="31">
      <c r="A31" s="11" t="inlineStr">
        <is>
          <t>VAR_Analysis</t>
        </is>
      </c>
      <c r="B31" t="inlineStr">
        <is>
          <t>Vector Autoregression — Granger causality between all series</t>
        </is>
      </c>
    </row>
  </sheetData>
  <mergeCells count="28">
    <mergeCell ref="B7:F7"/>
    <mergeCell ref="B16:F16"/>
    <mergeCell ref="B25:F25"/>
    <mergeCell ref="B31:F31"/>
    <mergeCell ref="A21:F21"/>
    <mergeCell ref="B18:F18"/>
    <mergeCell ref="B27:F27"/>
    <mergeCell ref="A2:F2"/>
    <mergeCell ref="B12:F12"/>
    <mergeCell ref="A5:F5"/>
    <mergeCell ref="B11:F11"/>
    <mergeCell ref="B23:F23"/>
    <mergeCell ref="A4:F4"/>
    <mergeCell ref="B14:F14"/>
    <mergeCell ref="B8:F8"/>
    <mergeCell ref="B17:F17"/>
    <mergeCell ref="B13:F13"/>
    <mergeCell ref="B29:F29"/>
    <mergeCell ref="B10:F10"/>
    <mergeCell ref="B28:F28"/>
    <mergeCell ref="B19:F19"/>
    <mergeCell ref="B9:F9"/>
    <mergeCell ref="B30:F30"/>
    <mergeCell ref="B6:F6"/>
    <mergeCell ref="B24:F24"/>
    <mergeCell ref="B15:F15"/>
    <mergeCell ref="A1:F1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Composite USD Dominance Score (0–100)  |  100 = full dominance · 0 = zero dominance</t>
        </is>
      </c>
    </row>
    <row r="3">
      <c r="A3" s="13" t="inlineStr">
        <is>
          <t>Weighted index: BTC USD share (25%) + DXY (20% if available) + SWIFT USD share (25% if available) + Inverted BRICS gold (20%) + Inverted BRICS oil (15%).  Weights rescaled to sum 1.0.</t>
        </is>
      </c>
    </row>
    <row r="5">
      <c r="A5" s="10" t="inlineStr">
        <is>
          <t>Date</t>
        </is>
      </c>
      <c r="B5" s="10" t="inlineStr">
        <is>
          <t>USD Dominance Score</t>
        </is>
      </c>
      <c r="C5" s="14" t="inlineStr">
        <is>
          <t>H-W Forecast</t>
        </is>
      </c>
      <c r="D5" s="14" t="inlineStr">
        <is>
          <t>H-W Lower 90%</t>
        </is>
      </c>
      <c r="E5" s="14" t="inlineStr">
        <is>
          <t>H-W Upper 90%</t>
        </is>
      </c>
      <c r="F5" s="10" t="inlineStr">
        <is>
          <t>btc_usd_share</t>
        </is>
      </c>
      <c r="G5" s="10" t="inlineStr">
        <is>
          <t>BRICS_Gold_Qty_kg</t>
        </is>
      </c>
      <c r="H5" s="10" t="inlineStr">
        <is>
          <t>BRICS_Oil_Qty_kg</t>
        </is>
      </c>
    </row>
    <row r="6">
      <c r="A6" s="15" t="n">
        <v>44866</v>
      </c>
      <c r="B6" s="16" t="n">
        <v>49.82</v>
      </c>
    </row>
    <row r="7">
      <c r="A7" s="15" t="n">
        <v>44896</v>
      </c>
      <c r="B7" s="16" t="n">
        <v>48.7</v>
      </c>
    </row>
    <row r="8">
      <c r="A8" s="15" t="n">
        <v>44927</v>
      </c>
      <c r="B8" s="16" t="n">
        <v>56.71</v>
      </c>
    </row>
    <row r="9">
      <c r="A9" s="15" t="n">
        <v>44958</v>
      </c>
      <c r="B9" s="16" t="n">
        <v>45.45</v>
      </c>
    </row>
    <row r="10">
      <c r="A10" s="15" t="n">
        <v>44986</v>
      </c>
      <c r="B10" s="17" t="n">
        <v>38.82</v>
      </c>
    </row>
    <row r="11">
      <c r="A11" s="15" t="n">
        <v>45017</v>
      </c>
      <c r="B11" s="16" t="n">
        <v>49.26</v>
      </c>
    </row>
    <row r="12">
      <c r="A12" s="15" t="n">
        <v>45047</v>
      </c>
      <c r="B12" s="16" t="n">
        <v>44.07</v>
      </c>
    </row>
    <row r="13">
      <c r="A13" s="15" t="n">
        <v>45078</v>
      </c>
      <c r="B13" s="16" t="n">
        <v>48.82</v>
      </c>
    </row>
    <row r="14">
      <c r="A14" s="15" t="n">
        <v>45108</v>
      </c>
      <c r="B14" s="16" t="n">
        <v>58.11</v>
      </c>
    </row>
    <row r="15">
      <c r="A15" s="15" t="n">
        <v>45139</v>
      </c>
      <c r="B15" s="18" t="n">
        <v>66.89</v>
      </c>
    </row>
    <row r="16">
      <c r="A16" s="15" t="n">
        <v>45170</v>
      </c>
      <c r="B16" s="18" t="n">
        <v>67.97</v>
      </c>
    </row>
    <row r="17">
      <c r="A17" s="15" t="n">
        <v>45200</v>
      </c>
      <c r="B17" s="16" t="n">
        <v>55.07</v>
      </c>
    </row>
    <row r="18">
      <c r="A18" s="15" t="n">
        <v>45231</v>
      </c>
      <c r="B18" s="18" t="n">
        <v>64.88</v>
      </c>
    </row>
    <row r="19">
      <c r="A19" s="15" t="n">
        <v>45261</v>
      </c>
      <c r="B19" s="16" t="n">
        <v>54.86</v>
      </c>
    </row>
    <row r="20">
      <c r="A20" s="15" t="n">
        <v>45292</v>
      </c>
      <c r="B20" s="16" t="n">
        <v>52.29</v>
      </c>
    </row>
    <row r="21">
      <c r="A21" s="15" t="n">
        <v>45323</v>
      </c>
      <c r="B21" s="16" t="n">
        <v>54.03</v>
      </c>
    </row>
    <row r="22">
      <c r="A22" s="15" t="n">
        <v>45352</v>
      </c>
      <c r="B22" s="16" t="n">
        <v>55.79</v>
      </c>
    </row>
    <row r="23">
      <c r="A23" s="15" t="n">
        <v>45383</v>
      </c>
      <c r="B23" s="18" t="n">
        <v>62.21</v>
      </c>
    </row>
    <row r="24">
      <c r="A24" s="15" t="n">
        <v>45413</v>
      </c>
      <c r="B24" s="16" t="n">
        <v>59.06</v>
      </c>
    </row>
    <row r="25">
      <c r="A25" s="15" t="n">
        <v>45444</v>
      </c>
      <c r="B25" s="18" t="n">
        <v>68.25</v>
      </c>
    </row>
    <row r="26">
      <c r="A26" s="15" t="n">
        <v>45474</v>
      </c>
      <c r="B26" s="18" t="n">
        <v>66.70999999999999</v>
      </c>
    </row>
    <row r="27">
      <c r="A27" s="15" t="n">
        <v>45505</v>
      </c>
      <c r="B27" s="16" t="n">
        <v>58.95</v>
      </c>
    </row>
    <row r="28">
      <c r="A28" s="15" t="n">
        <v>45536</v>
      </c>
      <c r="B28" s="16" t="n">
        <v>58.92</v>
      </c>
    </row>
    <row r="29">
      <c r="A29" s="15" t="n">
        <v>45566</v>
      </c>
      <c r="B29" s="16" t="n">
        <v>58.1</v>
      </c>
    </row>
    <row r="30">
      <c r="A30" s="15" t="n">
        <v>45597</v>
      </c>
      <c r="B30" s="16" t="n">
        <v>54.5</v>
      </c>
    </row>
    <row r="31">
      <c r="A31" s="15" t="n">
        <v>45627</v>
      </c>
      <c r="B31" s="18" t="n">
        <v>64.53</v>
      </c>
    </row>
    <row r="32">
      <c r="A32" s="15" t="n">
        <v>45658</v>
      </c>
      <c r="B32" s="18" t="n">
        <v>85.2</v>
      </c>
    </row>
    <row r="33">
      <c r="A33" s="15" t="n">
        <v>45689</v>
      </c>
      <c r="B33" s="18" t="n">
        <v>85.51000000000001</v>
      </c>
    </row>
    <row r="34">
      <c r="A34" s="15" t="n">
        <v>45717</v>
      </c>
      <c r="B34" s="18" t="n">
        <v>77.45999999999999</v>
      </c>
    </row>
    <row r="35">
      <c r="A35" s="15" t="n">
        <v>45748</v>
      </c>
      <c r="B35" s="18" t="n">
        <v>71.73999999999999</v>
      </c>
    </row>
    <row r="36">
      <c r="A36" s="15" t="n">
        <v>45778</v>
      </c>
      <c r="B36" s="18" t="n">
        <v>71.88</v>
      </c>
    </row>
    <row r="37">
      <c r="A37" s="15" t="n">
        <v>45809</v>
      </c>
      <c r="B37" s="18" t="n">
        <v>72.56999999999999</v>
      </c>
    </row>
    <row r="38">
      <c r="A38" s="15" t="n">
        <v>45839</v>
      </c>
      <c r="B38" s="18" t="n">
        <v>85.42</v>
      </c>
    </row>
    <row r="39">
      <c r="A39" s="15" t="n">
        <v>45870</v>
      </c>
      <c r="B39" s="18" t="n">
        <v>81.45999999999999</v>
      </c>
    </row>
    <row r="40">
      <c r="A40" s="15" t="n">
        <v>45901</v>
      </c>
      <c r="B40" s="18" t="n">
        <v>62.5</v>
      </c>
    </row>
    <row r="41">
      <c r="A41" s="15" t="n">
        <v>45931</v>
      </c>
      <c r="B41" s="18" t="n">
        <v>78.09999999999999</v>
      </c>
    </row>
    <row r="42">
      <c r="A42" s="15" t="n">
        <v>45962</v>
      </c>
      <c r="C42" s="19" t="n">
        <v>76.7</v>
      </c>
      <c r="D42" s="20" t="n">
        <v>57.34</v>
      </c>
      <c r="E42" s="20" t="n">
        <v>94.84999999999999</v>
      </c>
    </row>
    <row r="43">
      <c r="A43" s="15" t="n">
        <v>45992</v>
      </c>
      <c r="C43" s="19" t="n">
        <v>76.33</v>
      </c>
      <c r="D43" s="20" t="n">
        <v>53.12</v>
      </c>
      <c r="E43" s="20" t="n">
        <v>97.52</v>
      </c>
    </row>
    <row r="44">
      <c r="A44" s="15" t="n">
        <v>46023</v>
      </c>
      <c r="C44" s="19" t="n">
        <v>85.03</v>
      </c>
      <c r="D44" s="20" t="n">
        <v>56.79</v>
      </c>
      <c r="E44" s="20" t="n">
        <v>115.35</v>
      </c>
    </row>
    <row r="45">
      <c r="A45" s="15" t="n">
        <v>46054</v>
      </c>
      <c r="C45" s="19" t="n">
        <v>81.95999999999999</v>
      </c>
      <c r="D45" s="20" t="n">
        <v>50.9</v>
      </c>
      <c r="E45" s="20" t="n">
        <v>117.76</v>
      </c>
    </row>
    <row r="46">
      <c r="A46" s="15" t="n">
        <v>46082</v>
      </c>
      <c r="C46" s="19" t="n">
        <v>77.65000000000001</v>
      </c>
      <c r="D46" s="20" t="n">
        <v>45.28</v>
      </c>
      <c r="E46" s="20" t="n">
        <v>115.79</v>
      </c>
    </row>
    <row r="47">
      <c r="A47" s="15" t="n">
        <v>46113</v>
      </c>
      <c r="C47" s="19" t="n">
        <v>81.37</v>
      </c>
      <c r="D47" s="20" t="n">
        <v>49.45</v>
      </c>
      <c r="E47" s="20" t="n">
        <v>124.75</v>
      </c>
    </row>
    <row r="48">
      <c r="A48" s="15" t="n">
        <v>46143</v>
      </c>
      <c r="C48" s="19" t="n">
        <v>78.63</v>
      </c>
      <c r="D48" s="20" t="n">
        <v>43.79</v>
      </c>
      <c r="E48" s="20" t="n">
        <v>124.15</v>
      </c>
    </row>
    <row r="49">
      <c r="A49" s="15" t="n">
        <v>46174</v>
      </c>
      <c r="C49" s="19" t="n">
        <v>83.51000000000001</v>
      </c>
      <c r="D49" s="20" t="n">
        <v>44.96</v>
      </c>
      <c r="E49" s="20" t="n">
        <v>128.44</v>
      </c>
    </row>
    <row r="50">
      <c r="A50" s="15" t="n">
        <v>46204</v>
      </c>
      <c r="C50" s="19" t="n">
        <v>90.38</v>
      </c>
      <c r="D50" s="20" t="n">
        <v>51.97</v>
      </c>
      <c r="E50" s="20" t="n">
        <v>146.75</v>
      </c>
    </row>
    <row r="51">
      <c r="A51" s="15" t="n">
        <v>46235</v>
      </c>
      <c r="C51" s="19" t="n">
        <v>89.40000000000001</v>
      </c>
      <c r="D51" s="20" t="n">
        <v>48.28</v>
      </c>
      <c r="E51" s="20" t="n">
        <v>145.12</v>
      </c>
    </row>
    <row r="52">
      <c r="A52" s="15" t="n">
        <v>46266</v>
      </c>
      <c r="C52" s="19" t="n">
        <v>83.43000000000001</v>
      </c>
      <c r="D52" s="20" t="n">
        <v>40.24</v>
      </c>
      <c r="E52" s="20" t="n">
        <v>141.97</v>
      </c>
    </row>
    <row r="53">
      <c r="A53" s="15" t="n">
        <v>46296</v>
      </c>
      <c r="C53" s="19" t="n">
        <v>84.06</v>
      </c>
      <c r="D53" s="20" t="n">
        <v>40.62</v>
      </c>
      <c r="E53" s="20" t="n">
        <v>139.7</v>
      </c>
    </row>
    <row r="56">
      <c r="A56" s="3" t="inlineStr">
        <is>
          <t>MODEL VALIDATION — 6-month hold-out backtest (H-W (Composite Score))</t>
        </is>
      </c>
    </row>
    <row r="57">
      <c r="A57" s="21" t="inlineStr">
        <is>
          <t>MAE  (Mean Absolute Error)</t>
        </is>
      </c>
      <c r="B57" s="22" t="n">
        <v>7.4383</v>
      </c>
      <c r="C57" s="23" t="inlineStr">
        <is>
          <t>Lower = better</t>
        </is>
      </c>
    </row>
    <row r="58">
      <c r="A58" s="21" t="inlineStr">
        <is>
          <t>RMSE (Root Mean Square Error)</t>
        </is>
      </c>
      <c r="B58" s="22" t="n">
        <v>9.5396</v>
      </c>
      <c r="C58" s="23" t="inlineStr">
        <is>
          <t>Penalises large misses</t>
        </is>
      </c>
    </row>
    <row r="59">
      <c r="A59" s="21" t="inlineStr">
        <is>
          <t>MAPE (Mean Absolute % Error)</t>
        </is>
      </c>
      <c r="B59" s="24" t="n">
        <v>10.2953</v>
      </c>
      <c r="C59" s="23" t="inlineStr">
        <is>
          <t>&lt;10% good · &lt;5% excellent</t>
        </is>
      </c>
    </row>
  </sheetData>
  <mergeCells count="3">
    <mergeCell ref="A56:H56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4" customWidth="1" min="4" max="4"/>
    <col width="18" customWidth="1" min="5" max="5"/>
    <col width="16" customWidth="1" min="6" max="6"/>
    <col width="16" customWidth="1" min="7" max="7"/>
    <col width="22" customWidth="1" min="8" max="8"/>
  </cols>
  <sheetData>
    <row r="1">
      <c r="A1" s="12" t="inlineStr">
        <is>
          <t>SWIFT USD Payment Share — Most Direct USD Dominance Measure</t>
        </is>
      </c>
    </row>
    <row r="3">
      <c r="A3" s="13" t="inlineStr">
        <is>
          <t>Source: SWIFT RMB Tracker monthly reports. USD % of international payments by value settled via SWIFT network. Quarterly anchors linearly interpolated. Higher % = stronger USD dominance in real trade.</t>
        </is>
      </c>
    </row>
    <row r="5">
      <c r="A5" s="10" t="inlineStr">
        <is>
          <t>Date</t>
        </is>
      </c>
      <c r="B5" s="10" t="inlineStr">
        <is>
          <t>USD Share %</t>
        </is>
      </c>
      <c r="C5" s="10" t="inlineStr">
        <is>
          <t>MoM Δ%</t>
        </is>
      </c>
      <c r="D5" s="10" t="inlineStr">
        <is>
          <t>3-MA Share</t>
        </is>
      </c>
      <c r="E5" s="14" t="inlineStr">
        <is>
          <t>H-W Forecast</t>
        </is>
      </c>
      <c r="F5" s="14" t="inlineStr">
        <is>
          <t>H-W Lower 90%</t>
        </is>
      </c>
      <c r="G5" s="14" t="inlineStr">
        <is>
          <t>H-W Upper 90%</t>
        </is>
      </c>
      <c r="H5" s="10" t="inlineStr">
        <is>
          <t>Source</t>
        </is>
      </c>
    </row>
    <row r="6">
      <c r="A6" s="15" t="n">
        <v>44197</v>
      </c>
      <c r="B6" s="25" t="n">
        <v>38.23</v>
      </c>
      <c r="H6" t="inlineStr">
        <is>
          <t>SWIFT RMB Tracker</t>
        </is>
      </c>
    </row>
    <row r="7">
      <c r="A7" s="15" t="n">
        <v>44228</v>
      </c>
      <c r="B7" s="25" t="n">
        <v>38.46</v>
      </c>
      <c r="C7" s="26" t="n">
        <v>0.23</v>
      </c>
      <c r="H7" t="inlineStr">
        <is>
          <t>SWIFT RMB Tracker</t>
        </is>
      </c>
    </row>
    <row r="8">
      <c r="A8" s="15" t="n">
        <v>44256</v>
      </c>
      <c r="B8" s="25" t="n">
        <v>38.68</v>
      </c>
      <c r="C8" s="26" t="n">
        <v>0.22</v>
      </c>
      <c r="D8" s="16">
        <f>B6+B7+B8</f>
        <v/>
      </c>
      <c r="H8" t="inlineStr">
        <is>
          <t>SWIFT RMB Tracker</t>
        </is>
      </c>
    </row>
    <row r="9">
      <c r="A9" s="15" t="n">
        <v>44287</v>
      </c>
      <c r="B9" s="25" t="n">
        <v>38.91</v>
      </c>
      <c r="C9" s="26" t="n">
        <v>0.23</v>
      </c>
      <c r="D9" s="16">
        <f>B7+B8+B9</f>
        <v/>
      </c>
      <c r="H9" t="inlineStr">
        <is>
          <t>SWIFT RMB Tracker</t>
        </is>
      </c>
    </row>
    <row r="10">
      <c r="A10" s="15" t="n">
        <v>44317</v>
      </c>
      <c r="B10" s="25" t="n">
        <v>39.09</v>
      </c>
      <c r="C10" s="26" t="n">
        <v>0.18</v>
      </c>
      <c r="D10" s="16">
        <f>B8+B9+B10</f>
        <v/>
      </c>
      <c r="H10" t="inlineStr">
        <is>
          <t>SWIFT RMB Tracker</t>
        </is>
      </c>
    </row>
    <row r="11">
      <c r="A11" s="15" t="n">
        <v>44348</v>
      </c>
      <c r="B11" s="25" t="n">
        <v>39.27</v>
      </c>
      <c r="C11" s="26" t="n">
        <v>0.18</v>
      </c>
      <c r="D11" s="16">
        <f>B9+B10+B11</f>
        <v/>
      </c>
      <c r="H11" t="inlineStr">
        <is>
          <t>SWIFT RMB Tracker</t>
        </is>
      </c>
    </row>
    <row r="12">
      <c r="A12" s="15" t="n">
        <v>44378</v>
      </c>
      <c r="B12" s="25" t="n">
        <v>39.45</v>
      </c>
      <c r="C12" s="26" t="n">
        <v>0.18</v>
      </c>
      <c r="D12" s="16">
        <f>B10+B11+B12</f>
        <v/>
      </c>
      <c r="H12" t="inlineStr">
        <is>
          <t>SWIFT RMB Tracker</t>
        </is>
      </c>
    </row>
    <row r="13">
      <c r="A13" s="15" t="n">
        <v>44409</v>
      </c>
      <c r="B13" s="25" t="n">
        <v>39.57</v>
      </c>
      <c r="C13" s="26" t="n">
        <v>0.12</v>
      </c>
      <c r="D13" s="16">
        <f>B11+B12+B13</f>
        <v/>
      </c>
      <c r="H13" t="inlineStr">
        <is>
          <t>SWIFT RMB Tracker</t>
        </is>
      </c>
    </row>
    <row r="14">
      <c r="A14" s="15" t="n">
        <v>44440</v>
      </c>
      <c r="B14" s="25" t="n">
        <v>39.7</v>
      </c>
      <c r="C14" s="26" t="n">
        <v>0.13</v>
      </c>
      <c r="D14" s="16">
        <f>B12+B13+B14</f>
        <v/>
      </c>
      <c r="H14" t="inlineStr">
        <is>
          <t>SWIFT RMB Tracker</t>
        </is>
      </c>
    </row>
    <row r="15">
      <c r="A15" s="15" t="n">
        <v>44470</v>
      </c>
      <c r="B15" s="25" t="n">
        <v>39.82</v>
      </c>
      <c r="C15" s="26" t="n">
        <v>0.12</v>
      </c>
      <c r="D15" s="16">
        <f>B13+B14+B15</f>
        <v/>
      </c>
      <c r="H15" t="inlineStr">
        <is>
          <t>SWIFT RMB Tracker</t>
        </is>
      </c>
    </row>
    <row r="16">
      <c r="A16" s="15" t="n">
        <v>44501</v>
      </c>
      <c r="B16" s="24" t="n">
        <v>40.05</v>
      </c>
      <c r="C16" s="26" t="n">
        <v>0.23</v>
      </c>
      <c r="D16" s="16">
        <f>B14+B15+B16</f>
        <v/>
      </c>
      <c r="H16" t="inlineStr">
        <is>
          <t>SWIFT RMB Tracker</t>
        </is>
      </c>
    </row>
    <row r="17">
      <c r="A17" s="15" t="n">
        <v>44531</v>
      </c>
      <c r="B17" s="24" t="n">
        <v>40.28</v>
      </c>
      <c r="C17" s="26" t="n">
        <v>0.23</v>
      </c>
      <c r="D17" s="16">
        <f>B15+B16+B17</f>
        <v/>
      </c>
      <c r="H17" t="inlineStr">
        <is>
          <t>SWIFT RMB Tracker</t>
        </is>
      </c>
    </row>
    <row r="18">
      <c r="A18" s="15" t="n">
        <v>44562</v>
      </c>
      <c r="B18" s="24" t="n">
        <v>40.51</v>
      </c>
      <c r="C18" s="26" t="n">
        <v>0.23</v>
      </c>
      <c r="D18" s="16">
        <f>B16+B17+B18</f>
        <v/>
      </c>
      <c r="H18" t="inlineStr">
        <is>
          <t>SWIFT RMB Tracker</t>
        </is>
      </c>
    </row>
    <row r="19">
      <c r="A19" s="15" t="n">
        <v>44593</v>
      </c>
      <c r="B19" s="24" t="n">
        <v>40.92</v>
      </c>
      <c r="C19" s="26" t="n">
        <v>0.41</v>
      </c>
      <c r="D19" s="16">
        <f>B17+B18+B19</f>
        <v/>
      </c>
      <c r="H19" t="inlineStr">
        <is>
          <t>SWIFT RMB Tracker</t>
        </is>
      </c>
    </row>
    <row r="20">
      <c r="A20" s="15" t="n">
        <v>44621</v>
      </c>
      <c r="B20" s="24" t="n">
        <v>41.32</v>
      </c>
      <c r="C20" s="26" t="n">
        <v>0.4</v>
      </c>
      <c r="D20" s="16">
        <f>B18+B19+B20</f>
        <v/>
      </c>
      <c r="H20" t="inlineStr">
        <is>
          <t>SWIFT RMB Tracker</t>
        </is>
      </c>
    </row>
    <row r="21">
      <c r="A21" s="15" t="n">
        <v>44652</v>
      </c>
      <c r="B21" s="24" t="n">
        <v>41.73</v>
      </c>
      <c r="C21" s="26" t="n">
        <v>0.41</v>
      </c>
      <c r="D21" s="16">
        <f>B19+B20+B21</f>
        <v/>
      </c>
      <c r="H21" t="inlineStr">
        <is>
          <t>SWIFT RMB Tracker</t>
        </is>
      </c>
    </row>
    <row r="22">
      <c r="A22" s="15" t="n">
        <v>44682</v>
      </c>
      <c r="B22" s="24" t="n">
        <v>42.11</v>
      </c>
      <c r="C22" s="26" t="n">
        <v>0.38</v>
      </c>
      <c r="D22" s="16">
        <f>B20+B21+B22</f>
        <v/>
      </c>
      <c r="H22" t="inlineStr">
        <is>
          <t>SWIFT RMB Tracker</t>
        </is>
      </c>
    </row>
    <row r="23">
      <c r="A23" s="15" t="n">
        <v>44713</v>
      </c>
      <c r="B23" s="24" t="n">
        <v>42.5</v>
      </c>
      <c r="C23" s="26" t="n">
        <v>0.39</v>
      </c>
      <c r="D23" s="16">
        <f>B21+B22+B23</f>
        <v/>
      </c>
      <c r="H23" t="inlineStr">
        <is>
          <t>SWIFT RMB Tracker</t>
        </is>
      </c>
    </row>
    <row r="24">
      <c r="A24" s="15" t="n">
        <v>44743</v>
      </c>
      <c r="B24" s="24" t="n">
        <v>42.88</v>
      </c>
      <c r="C24" s="26" t="n">
        <v>0.38</v>
      </c>
      <c r="D24" s="16">
        <f>B22+B23+B24</f>
        <v/>
      </c>
      <c r="H24" t="inlineStr">
        <is>
          <t>SWIFT RMB Tracker</t>
        </is>
      </c>
    </row>
    <row r="25">
      <c r="A25" s="15" t="n">
        <v>44774</v>
      </c>
      <c r="B25" s="24" t="n">
        <v>42.37</v>
      </c>
      <c r="C25" s="27" t="n">
        <v>-0.51</v>
      </c>
      <c r="D25" s="16">
        <f>B23+B24+B25</f>
        <v/>
      </c>
      <c r="H25" t="inlineStr">
        <is>
          <t>SWIFT RMB Tracker</t>
        </is>
      </c>
    </row>
    <row r="26">
      <c r="A26" s="15" t="n">
        <v>44805</v>
      </c>
      <c r="B26" s="24" t="n">
        <v>41.86</v>
      </c>
      <c r="C26" s="27" t="n">
        <v>-0.51</v>
      </c>
      <c r="D26" s="16">
        <f>B24+B25+B26</f>
        <v/>
      </c>
      <c r="H26" t="inlineStr">
        <is>
          <t>SWIFT RMB Tracker</t>
        </is>
      </c>
    </row>
    <row r="27">
      <c r="A27" s="15" t="n">
        <v>44835</v>
      </c>
      <c r="B27" s="24" t="n">
        <v>41.35</v>
      </c>
      <c r="C27" s="27" t="n">
        <v>-0.51</v>
      </c>
      <c r="D27" s="16">
        <f>B25+B26+B27</f>
        <v/>
      </c>
      <c r="H27" t="inlineStr">
        <is>
          <t>SWIFT RMB Tracker</t>
        </is>
      </c>
    </row>
    <row r="28">
      <c r="A28" s="15" t="n">
        <v>44866</v>
      </c>
      <c r="B28" s="24" t="n">
        <v>41.28</v>
      </c>
      <c r="C28" s="27" t="n">
        <v>-0.07000000000000001</v>
      </c>
      <c r="D28" s="16">
        <f>B26+B27+B28</f>
        <v/>
      </c>
      <c r="H28" t="inlineStr">
        <is>
          <t>SWIFT RMB Tracker</t>
        </is>
      </c>
    </row>
    <row r="29">
      <c r="A29" s="15" t="n">
        <v>44896</v>
      </c>
      <c r="B29" s="24" t="n">
        <v>41.21</v>
      </c>
      <c r="C29" s="27" t="n">
        <v>-0.07000000000000001</v>
      </c>
      <c r="D29" s="16">
        <f>B27+B28+B29</f>
        <v/>
      </c>
      <c r="H29" t="inlineStr">
        <is>
          <t>SWIFT RMB Tracker</t>
        </is>
      </c>
    </row>
    <row r="30">
      <c r="A30" s="15" t="n">
        <v>44927</v>
      </c>
      <c r="B30" s="24" t="n">
        <v>41.14</v>
      </c>
      <c r="C30" s="27" t="n">
        <v>-0.07000000000000001</v>
      </c>
      <c r="D30" s="16">
        <f>B28+B29+B30</f>
        <v/>
      </c>
      <c r="H30" t="inlineStr">
        <is>
          <t>SWIFT RMB Tracker</t>
        </is>
      </c>
    </row>
    <row r="31">
      <c r="A31" s="15" t="n">
        <v>44958</v>
      </c>
      <c r="B31" s="24" t="n">
        <v>41.66</v>
      </c>
      <c r="C31" s="26" t="n">
        <v>0.52</v>
      </c>
      <c r="D31" s="16">
        <f>B29+B30+B31</f>
        <v/>
      </c>
      <c r="H31" t="inlineStr">
        <is>
          <t>SWIFT RMB Tracker</t>
        </is>
      </c>
    </row>
    <row r="32">
      <c r="A32" s="15" t="n">
        <v>44986</v>
      </c>
      <c r="B32" s="24" t="n">
        <v>42.17</v>
      </c>
      <c r="C32" s="26" t="n">
        <v>0.51</v>
      </c>
      <c r="D32" s="16">
        <f>B30+B31+B32</f>
        <v/>
      </c>
      <c r="H32" t="inlineStr">
        <is>
          <t>SWIFT RMB Tracker</t>
        </is>
      </c>
    </row>
    <row r="33">
      <c r="A33" s="15" t="n">
        <v>45017</v>
      </c>
      <c r="B33" s="24" t="n">
        <v>42.69</v>
      </c>
      <c r="C33" s="26" t="n">
        <v>0.52</v>
      </c>
      <c r="D33" s="16">
        <f>B31+B32+B33</f>
        <v/>
      </c>
      <c r="H33" t="inlineStr">
        <is>
          <t>SWIFT RMB Tracker</t>
        </is>
      </c>
    </row>
    <row r="34">
      <c r="A34" s="15" t="n">
        <v>45047</v>
      </c>
      <c r="B34" s="24" t="n">
        <v>43.95</v>
      </c>
      <c r="C34" s="26" t="n">
        <v>1.26</v>
      </c>
      <c r="D34" s="16">
        <f>B32+B33+B34</f>
        <v/>
      </c>
      <c r="H34" t="inlineStr">
        <is>
          <t>SWIFT RMB Tracker</t>
        </is>
      </c>
    </row>
    <row r="35">
      <c r="A35" s="15" t="n">
        <v>45078</v>
      </c>
      <c r="B35" s="28" t="n">
        <v>45.2</v>
      </c>
      <c r="C35" s="26" t="n">
        <v>1.25</v>
      </c>
      <c r="D35" s="16">
        <f>B33+B34+B35</f>
        <v/>
      </c>
      <c r="H35" t="inlineStr">
        <is>
          <t>SWIFT RMB Tracker</t>
        </is>
      </c>
    </row>
    <row r="36">
      <c r="A36" s="15" t="n">
        <v>45108</v>
      </c>
      <c r="B36" s="28" t="n">
        <v>46.46</v>
      </c>
      <c r="C36" s="26" t="n">
        <v>1.26</v>
      </c>
      <c r="D36" s="16">
        <f>B34+B35+B36</f>
        <v/>
      </c>
      <c r="H36" t="inlineStr">
        <is>
          <t>SWIFT RMB Tracker</t>
        </is>
      </c>
    </row>
    <row r="37">
      <c r="A37" s="15" t="n">
        <v>45139</v>
      </c>
      <c r="B37" s="28" t="n">
        <v>46.72</v>
      </c>
      <c r="C37" s="26" t="n">
        <v>0.26</v>
      </c>
      <c r="D37" s="16">
        <f>B35+B36+B37</f>
        <v/>
      </c>
      <c r="H37" t="inlineStr">
        <is>
          <t>SWIFT RMB Tracker</t>
        </is>
      </c>
    </row>
    <row r="38">
      <c r="A38" s="15" t="n">
        <v>45170</v>
      </c>
      <c r="B38" s="28" t="n">
        <v>46.97</v>
      </c>
      <c r="C38" s="26" t="n">
        <v>0.25</v>
      </c>
      <c r="D38" s="16">
        <f>B36+B37+B38</f>
        <v/>
      </c>
      <c r="H38" t="inlineStr">
        <is>
          <t>SWIFT RMB Tracker</t>
        </is>
      </c>
    </row>
    <row r="39">
      <c r="A39" s="15" t="n">
        <v>45200</v>
      </c>
      <c r="B39" s="28" t="n">
        <v>47.23</v>
      </c>
      <c r="C39" s="26" t="n">
        <v>0.26</v>
      </c>
      <c r="D39" s="16">
        <f>B37+B38+B39</f>
        <v/>
      </c>
      <c r="H39" t="inlineStr">
        <is>
          <t>SWIFT RMB Tracker</t>
        </is>
      </c>
    </row>
    <row r="40">
      <c r="A40" s="15" t="n">
        <v>45231</v>
      </c>
      <c r="B40" s="28" t="n">
        <v>47.27</v>
      </c>
      <c r="C40" s="26" t="n">
        <v>0.04</v>
      </c>
      <c r="D40" s="16">
        <f>B38+B39+B40</f>
        <v/>
      </c>
      <c r="H40" t="inlineStr">
        <is>
          <t>SWIFT RMB Tracker</t>
        </is>
      </c>
    </row>
    <row r="41">
      <c r="A41" s="15" t="n">
        <v>45261</v>
      </c>
      <c r="B41" s="28" t="n">
        <v>47.31</v>
      </c>
      <c r="C41" s="26" t="n">
        <v>0.04</v>
      </c>
      <c r="D41" s="16">
        <f>B39+B40+B41</f>
        <v/>
      </c>
      <c r="H41" t="inlineStr">
        <is>
          <t>SWIFT RMB Tracker</t>
        </is>
      </c>
    </row>
    <row r="42">
      <c r="A42" s="15" t="n">
        <v>45292</v>
      </c>
      <c r="B42" s="28" t="n">
        <v>47.35</v>
      </c>
      <c r="C42" s="26" t="n">
        <v>0.04</v>
      </c>
      <c r="D42" s="16">
        <f>B40+B41+B42</f>
        <v/>
      </c>
      <c r="H42" t="inlineStr">
        <is>
          <t>SWIFT RMB Tracker</t>
        </is>
      </c>
    </row>
    <row r="43">
      <c r="A43" s="15" t="n">
        <v>45323</v>
      </c>
      <c r="B43" s="28" t="n">
        <v>47.51</v>
      </c>
      <c r="C43" s="26" t="n">
        <v>0.16</v>
      </c>
      <c r="D43" s="16">
        <f>B41+B42+B43</f>
        <v/>
      </c>
      <c r="H43" t="inlineStr">
        <is>
          <t>SWIFT RMB Tracker</t>
        </is>
      </c>
    </row>
    <row r="44">
      <c r="A44" s="15" t="n">
        <v>45352</v>
      </c>
      <c r="B44" s="28" t="n">
        <v>47.66</v>
      </c>
      <c r="C44" s="26" t="n">
        <v>0.15</v>
      </c>
      <c r="D44" s="16">
        <f>B42+B43+B44</f>
        <v/>
      </c>
      <c r="H44" t="inlineStr">
        <is>
          <t>SWIFT RMB Tracker</t>
        </is>
      </c>
    </row>
    <row r="45">
      <c r="A45" s="15" t="n">
        <v>45383</v>
      </c>
      <c r="B45" s="28" t="n">
        <v>47.82</v>
      </c>
      <c r="C45" s="26" t="n">
        <v>0.16</v>
      </c>
      <c r="D45" s="16">
        <f>B43+B44+B45</f>
        <v/>
      </c>
      <c r="H45" t="inlineStr">
        <is>
          <t>SWIFT RMB Tracker</t>
        </is>
      </c>
    </row>
    <row r="46">
      <c r="A46" s="15" t="n">
        <v>45413</v>
      </c>
      <c r="B46" s="28" t="n">
        <v>47.89</v>
      </c>
      <c r="C46" s="26" t="n">
        <v>0.07000000000000001</v>
      </c>
      <c r="D46" s="16">
        <f>B44+B45+B46</f>
        <v/>
      </c>
      <c r="H46" t="inlineStr">
        <is>
          <t>SWIFT RMB Tracker</t>
        </is>
      </c>
    </row>
    <row r="47">
      <c r="A47" s="15" t="n">
        <v>45444</v>
      </c>
      <c r="B47" s="28" t="n">
        <v>47.96</v>
      </c>
      <c r="C47" s="26" t="n">
        <v>0.07000000000000001</v>
      </c>
      <c r="D47" s="16">
        <f>B45+B46+B47</f>
        <v/>
      </c>
      <c r="H47" t="inlineStr">
        <is>
          <t>SWIFT RMB Tracker</t>
        </is>
      </c>
    </row>
    <row r="48">
      <c r="A48" s="15" t="n">
        <v>45474</v>
      </c>
      <c r="B48" s="28" t="n">
        <v>48.03</v>
      </c>
      <c r="C48" s="26" t="n">
        <v>0.07000000000000001</v>
      </c>
      <c r="D48" s="16">
        <f>B46+B47+B48</f>
        <v/>
      </c>
      <c r="H48" t="inlineStr">
        <is>
          <t>SWIFT RMB Tracker</t>
        </is>
      </c>
    </row>
    <row r="49">
      <c r="A49" s="15" t="n">
        <v>45505</v>
      </c>
      <c r="B49" s="28" t="n">
        <v>47.87</v>
      </c>
      <c r="C49" s="27" t="n">
        <v>-0.16</v>
      </c>
      <c r="D49" s="16">
        <f>B47+B48+B49</f>
        <v/>
      </c>
      <c r="H49" t="inlineStr">
        <is>
          <t>SWIFT RMB Tracker</t>
        </is>
      </c>
    </row>
    <row r="50">
      <c r="A50" s="15" t="n">
        <v>45536</v>
      </c>
      <c r="B50" s="28" t="n">
        <v>47.7</v>
      </c>
      <c r="C50" s="27" t="n">
        <v>-0.17</v>
      </c>
      <c r="D50" s="16">
        <f>B48+B49+B50</f>
        <v/>
      </c>
      <c r="H50" t="inlineStr">
        <is>
          <t>SWIFT RMB Tracker</t>
        </is>
      </c>
    </row>
    <row r="51">
      <c r="A51" s="15" t="n">
        <v>45566</v>
      </c>
      <c r="B51" s="28" t="n">
        <v>47.54</v>
      </c>
      <c r="C51" s="27" t="n">
        <v>-0.16</v>
      </c>
      <c r="D51" s="16">
        <f>B49+B50+B51</f>
        <v/>
      </c>
      <c r="H51" t="inlineStr">
        <is>
          <t>SWIFT RMB Tracker</t>
        </is>
      </c>
    </row>
    <row r="52">
      <c r="A52" s="15" t="n">
        <v>45597</v>
      </c>
      <c r="B52" s="28" t="n">
        <v>47.43</v>
      </c>
      <c r="C52" s="27" t="n">
        <v>-0.11</v>
      </c>
      <c r="D52" s="16">
        <f>B50+B51+B52</f>
        <v/>
      </c>
      <c r="H52" t="inlineStr">
        <is>
          <t>SWIFT RMB Tracker</t>
        </is>
      </c>
    </row>
    <row r="53">
      <c r="A53" s="15" t="n">
        <v>45627</v>
      </c>
      <c r="B53" s="28" t="n">
        <v>47.31</v>
      </c>
      <c r="C53" s="27" t="n">
        <v>-0.12</v>
      </c>
      <c r="D53" s="16">
        <f>B51+B52+B53</f>
        <v/>
      </c>
      <c r="H53" t="inlineStr">
        <is>
          <t>SWIFT RMB Tracker</t>
        </is>
      </c>
    </row>
    <row r="54">
      <c r="A54" s="15" t="n">
        <v>45658</v>
      </c>
      <c r="B54" s="28" t="n">
        <v>47.2</v>
      </c>
      <c r="C54" s="27" t="n">
        <v>-0.11</v>
      </c>
      <c r="D54" s="16">
        <f>B52+B53+B54</f>
        <v/>
      </c>
      <c r="H54" t="inlineStr">
        <is>
          <t>SWIFT RMB Tracker</t>
        </is>
      </c>
    </row>
    <row r="55">
      <c r="A55" s="15" t="n">
        <v>45689</v>
      </c>
      <c r="B55" s="28" t="n">
        <v>47.1</v>
      </c>
      <c r="C55" s="27" t="n">
        <v>-0.1</v>
      </c>
      <c r="D55" s="16">
        <f>B53+B54+B55</f>
        <v/>
      </c>
      <c r="H55" t="inlineStr">
        <is>
          <t>SWIFT RMB Tracker</t>
        </is>
      </c>
    </row>
    <row r="56">
      <c r="A56" s="15" t="n">
        <v>45717</v>
      </c>
      <c r="B56" s="28" t="n">
        <v>47</v>
      </c>
      <c r="C56" s="27" t="n">
        <v>-0.1</v>
      </c>
      <c r="D56" s="16">
        <f>B54+B55+B56</f>
        <v/>
      </c>
      <c r="H56" t="inlineStr">
        <is>
          <t>SWIFT RMB Tracker</t>
        </is>
      </c>
    </row>
    <row r="57">
      <c r="A57" s="15" t="n">
        <v>45748</v>
      </c>
      <c r="B57" s="28" t="n">
        <v>46.9</v>
      </c>
      <c r="C57" s="27" t="n">
        <v>-0.1</v>
      </c>
      <c r="D57" s="16">
        <f>B55+B56+B57</f>
        <v/>
      </c>
      <c r="H57" t="inlineStr">
        <is>
          <t>SWIFT RMB Tracker</t>
        </is>
      </c>
    </row>
    <row r="58">
      <c r="A58" s="15" t="n">
        <v>45778</v>
      </c>
      <c r="E58" s="29" t="n">
        <v>46.95</v>
      </c>
      <c r="F58" s="30" t="n">
        <v>46.58</v>
      </c>
      <c r="G58" s="30" t="n">
        <v>47.31</v>
      </c>
      <c r="H58" s="31" t="inlineStr">
        <is>
          <t>H-W Forecast</t>
        </is>
      </c>
    </row>
    <row r="59">
      <c r="A59" s="15" t="n">
        <v>45809</v>
      </c>
      <c r="E59" s="29" t="n">
        <v>47.01</v>
      </c>
      <c r="F59" s="30" t="n">
        <v>46.17</v>
      </c>
      <c r="G59" s="30" t="n">
        <v>47.77</v>
      </c>
      <c r="H59" s="31" t="inlineStr">
        <is>
          <t>H-W Forecast</t>
        </is>
      </c>
    </row>
    <row r="60">
      <c r="A60" s="15" t="n">
        <v>45839</v>
      </c>
      <c r="E60" s="29" t="n">
        <v>47.07</v>
      </c>
      <c r="F60" s="30" t="n">
        <v>45.74</v>
      </c>
      <c r="G60" s="30" t="n">
        <v>48.43</v>
      </c>
      <c r="H60" s="31" t="inlineStr">
        <is>
          <t>H-W Forecast</t>
        </is>
      </c>
    </row>
    <row r="61">
      <c r="A61" s="15" t="n">
        <v>45870</v>
      </c>
      <c r="E61" s="29" t="n">
        <v>46.6</v>
      </c>
      <c r="F61" s="30" t="n">
        <v>44.6</v>
      </c>
      <c r="G61" s="30" t="n">
        <v>48.59</v>
      </c>
      <c r="H61" s="31" t="inlineStr">
        <is>
          <t>H-W Forecast</t>
        </is>
      </c>
    </row>
    <row r="62">
      <c r="A62" s="15" t="n">
        <v>45901</v>
      </c>
      <c r="E62" s="29" t="n">
        <v>46.13</v>
      </c>
      <c r="F62" s="30" t="n">
        <v>43.41</v>
      </c>
      <c r="G62" s="30" t="n">
        <v>48.75</v>
      </c>
      <c r="H62" s="31" t="inlineStr">
        <is>
          <t>H-W Forecast</t>
        </is>
      </c>
    </row>
    <row r="63">
      <c r="A63" s="15" t="n">
        <v>45931</v>
      </c>
      <c r="E63" s="29" t="n">
        <v>45.67</v>
      </c>
      <c r="F63" s="30" t="n">
        <v>42.05</v>
      </c>
      <c r="G63" s="30" t="n">
        <v>49.31</v>
      </c>
      <c r="H63" s="31" t="inlineStr">
        <is>
          <t>H-W Forecast</t>
        </is>
      </c>
    </row>
    <row r="64">
      <c r="A64" s="15" t="n">
        <v>45962</v>
      </c>
      <c r="E64" s="29" t="n">
        <v>45.31</v>
      </c>
      <c r="F64" s="30" t="n">
        <v>40.83</v>
      </c>
      <c r="G64" s="30" t="n">
        <v>49.89</v>
      </c>
      <c r="H64" s="31" t="inlineStr">
        <is>
          <t>H-W Forecast</t>
        </is>
      </c>
    </row>
    <row r="65">
      <c r="A65" s="15" t="n">
        <v>45992</v>
      </c>
      <c r="E65" s="29" t="n">
        <v>44.96</v>
      </c>
      <c r="F65" s="30" t="n">
        <v>39.42</v>
      </c>
      <c r="G65" s="30" t="n">
        <v>50.76</v>
      </c>
      <c r="H65" s="31" t="inlineStr">
        <is>
          <t>H-W Forecast</t>
        </is>
      </c>
    </row>
    <row r="66">
      <c r="A66" s="15" t="n">
        <v>46023</v>
      </c>
      <c r="E66" s="29" t="n">
        <v>44.61</v>
      </c>
      <c r="F66" s="30" t="n">
        <v>38.05</v>
      </c>
      <c r="G66" s="30" t="n">
        <v>51.43</v>
      </c>
      <c r="H66" s="31" t="inlineStr">
        <is>
          <t>H-W Forecast</t>
        </is>
      </c>
    </row>
    <row r="67">
      <c r="A67" s="15" t="n">
        <v>46054</v>
      </c>
      <c r="E67" s="29" t="n">
        <v>44.5</v>
      </c>
      <c r="F67" s="30" t="n">
        <v>37</v>
      </c>
      <c r="G67" s="30" t="n">
        <v>52.21</v>
      </c>
      <c r="H67" s="31" t="inlineStr">
        <is>
          <t>H-W Forecast</t>
        </is>
      </c>
    </row>
    <row r="68">
      <c r="A68" s="15" t="n">
        <v>46082</v>
      </c>
      <c r="E68" s="29" t="n">
        <v>44.39</v>
      </c>
      <c r="F68" s="30" t="n">
        <v>35.92</v>
      </c>
      <c r="G68" s="30" t="n">
        <v>53.36</v>
      </c>
      <c r="H68" s="31" t="inlineStr">
        <is>
          <t>H-W Forecast</t>
        </is>
      </c>
    </row>
    <row r="69">
      <c r="A69" s="15" t="n">
        <v>46113</v>
      </c>
      <c r="E69" s="29" t="n">
        <v>44.29</v>
      </c>
      <c r="F69" s="30" t="n">
        <v>34.82</v>
      </c>
      <c r="G69" s="30" t="n">
        <v>54.44</v>
      </c>
      <c r="H69" s="31" t="inlineStr">
        <is>
          <t>H-W Forecast</t>
        </is>
      </c>
    </row>
    <row r="72">
      <c r="A72" s="3" t="inlineStr">
        <is>
          <t>MODEL VALIDATION — 6-month hold-out backtest (H-W (SWIFT USD %))</t>
        </is>
      </c>
    </row>
    <row r="73">
      <c r="A73" s="21" t="inlineStr">
        <is>
          <t>MAE  (Mean Absolute Error)</t>
        </is>
      </c>
      <c r="B73" s="22" t="n">
        <v>0.2272</v>
      </c>
      <c r="C73" s="23" t="inlineStr">
        <is>
          <t>Lower = better</t>
        </is>
      </c>
    </row>
    <row r="74">
      <c r="A74" s="21" t="inlineStr">
        <is>
          <t>RMSE (Root Mean Square Error)</t>
        </is>
      </c>
      <c r="B74" s="22" t="n">
        <v>0.2287</v>
      </c>
      <c r="C74" s="23" t="inlineStr">
        <is>
          <t>Penalises large misses</t>
        </is>
      </c>
    </row>
    <row r="75">
      <c r="A75" s="21" t="inlineStr">
        <is>
          <t>MAPE (Mean Absolute % Error)</t>
        </is>
      </c>
      <c r="B75" s="24" t="n">
        <v>0.4816</v>
      </c>
      <c r="C75" s="23" t="inlineStr">
        <is>
          <t>&lt;10% good · &lt;5% excellent</t>
        </is>
      </c>
    </row>
    <row r="78">
      <c r="A78" s="3" t="inlineStr">
        <is>
          <t>SWIFT USD Share vs Composite Dominance Score (Cross-check)</t>
        </is>
      </c>
    </row>
    <row r="79">
      <c r="A79" s="10" t="inlineStr">
        <is>
          <t>Date</t>
        </is>
      </c>
      <c r="B79" s="10" t="inlineStr">
        <is>
          <t>SWIFT USD %</t>
        </is>
      </c>
      <c r="C79" s="10" t="inlineStr">
        <is>
          <t>Composite Score</t>
        </is>
      </c>
      <c r="D79" s="10" t="inlineStr">
        <is>
          <t>Divergence</t>
        </is>
      </c>
    </row>
    <row r="80">
      <c r="A80" s="15" t="n">
        <v>44197</v>
      </c>
      <c r="B80" s="24" t="n">
        <v>38.23</v>
      </c>
      <c r="C80" s="16" t="n">
        <v>18.54</v>
      </c>
      <c r="D80" s="32" t="n">
        <v>19.69</v>
      </c>
    </row>
    <row r="81">
      <c r="A81" s="15" t="n">
        <v>44228</v>
      </c>
      <c r="B81" s="24" t="n">
        <v>38.46</v>
      </c>
      <c r="C81" s="16" t="n">
        <v>18.56</v>
      </c>
      <c r="D81" s="32" t="n">
        <v>19.9</v>
      </c>
    </row>
    <row r="82">
      <c r="A82" s="15" t="n">
        <v>44256</v>
      </c>
      <c r="B82" s="24" t="n">
        <v>38.68</v>
      </c>
      <c r="C82" s="16" t="n">
        <v>13.22</v>
      </c>
      <c r="D82" s="32" t="n">
        <v>25.46</v>
      </c>
    </row>
    <row r="83">
      <c r="A83" s="15" t="n">
        <v>44287</v>
      </c>
      <c r="B83" s="24" t="n">
        <v>38.91</v>
      </c>
      <c r="C83" s="16" t="n">
        <v>11.49</v>
      </c>
      <c r="D83" s="32" t="n">
        <v>27.42</v>
      </c>
    </row>
    <row r="84">
      <c r="A84" s="15" t="n">
        <v>44317</v>
      </c>
      <c r="B84" s="24" t="n">
        <v>39.09</v>
      </c>
      <c r="C84" s="16" t="n">
        <v>21.56</v>
      </c>
      <c r="D84" s="32" t="n">
        <v>17.53</v>
      </c>
    </row>
    <row r="85">
      <c r="A85" s="15" t="n">
        <v>44348</v>
      </c>
      <c r="B85" s="24" t="n">
        <v>39.27</v>
      </c>
      <c r="C85" s="16" t="n">
        <v>31.54</v>
      </c>
      <c r="D85" s="33" t="n">
        <v>7.73</v>
      </c>
    </row>
    <row r="86">
      <c r="A86" s="15" t="n">
        <v>44378</v>
      </c>
      <c r="B86" s="24" t="n">
        <v>39.45</v>
      </c>
      <c r="C86" s="16" t="n">
        <v>22.7</v>
      </c>
      <c r="D86" s="32" t="n">
        <v>16.75</v>
      </c>
    </row>
    <row r="87">
      <c r="A87" s="15" t="n">
        <v>44409</v>
      </c>
      <c r="B87" s="24" t="n">
        <v>39.57</v>
      </c>
      <c r="C87" s="16" t="n">
        <v>16.77</v>
      </c>
      <c r="D87" s="32" t="n">
        <v>22.8</v>
      </c>
    </row>
    <row r="88">
      <c r="A88" s="15" t="n">
        <v>44440</v>
      </c>
      <c r="B88" s="24" t="n">
        <v>39.7</v>
      </c>
      <c r="C88" s="16" t="n">
        <v>24.04</v>
      </c>
      <c r="D88" s="32" t="n">
        <v>15.66</v>
      </c>
    </row>
    <row r="89">
      <c r="A89" s="15" t="n">
        <v>44470</v>
      </c>
      <c r="B89" s="24" t="n">
        <v>39.82</v>
      </c>
      <c r="C89" s="16" t="n">
        <v>21.73</v>
      </c>
      <c r="D89" s="32" t="n">
        <v>18.09</v>
      </c>
    </row>
    <row r="90">
      <c r="A90" s="15" t="n">
        <v>44501</v>
      </c>
      <c r="B90" s="24" t="n">
        <v>40.05</v>
      </c>
      <c r="C90" s="16" t="n">
        <v>28.5</v>
      </c>
      <c r="D90" s="32" t="n">
        <v>11.55</v>
      </c>
    </row>
    <row r="91">
      <c r="A91" s="15" t="n">
        <v>44531</v>
      </c>
      <c r="B91" s="24" t="n">
        <v>40.28</v>
      </c>
      <c r="C91" s="16" t="n">
        <v>30.9</v>
      </c>
      <c r="D91" s="33" t="n">
        <v>9.380000000000001</v>
      </c>
    </row>
    <row r="92">
      <c r="A92" s="15" t="n">
        <v>44562</v>
      </c>
      <c r="B92" s="24" t="n">
        <v>40.51</v>
      </c>
      <c r="C92" s="16" t="n">
        <v>31.51</v>
      </c>
      <c r="D92" s="33" t="n">
        <v>9</v>
      </c>
    </row>
    <row r="93">
      <c r="A93" s="15" t="n">
        <v>44593</v>
      </c>
      <c r="B93" s="24" t="n">
        <v>40.92</v>
      </c>
      <c r="C93" s="16" t="n">
        <v>34.29</v>
      </c>
      <c r="D93" s="33" t="n">
        <v>6.63</v>
      </c>
    </row>
    <row r="94">
      <c r="A94" s="15" t="n">
        <v>44621</v>
      </c>
      <c r="B94" s="24" t="n">
        <v>41.32</v>
      </c>
      <c r="C94" s="16" t="n">
        <v>42.77</v>
      </c>
      <c r="D94" s="33" t="n">
        <v>-1.45</v>
      </c>
    </row>
    <row r="95">
      <c r="A95" s="15" t="n">
        <v>44652</v>
      </c>
      <c r="B95" s="24" t="n">
        <v>41.73</v>
      </c>
      <c r="C95" s="16" t="n">
        <v>49.64</v>
      </c>
      <c r="D95" s="33" t="n">
        <v>-7.91</v>
      </c>
    </row>
    <row r="96">
      <c r="A96" s="15" t="n">
        <v>44682</v>
      </c>
      <c r="B96" s="24" t="n">
        <v>42.11</v>
      </c>
      <c r="C96" s="16" t="n">
        <v>43.78</v>
      </c>
      <c r="D96" s="33" t="n">
        <v>-1.67</v>
      </c>
    </row>
    <row r="97">
      <c r="A97" s="15" t="n">
        <v>44713</v>
      </c>
      <c r="B97" s="24" t="n">
        <v>42.5</v>
      </c>
      <c r="C97" s="16" t="n">
        <v>49.84</v>
      </c>
      <c r="D97" s="33" t="n">
        <v>-7.34</v>
      </c>
    </row>
    <row r="98">
      <c r="A98" s="15" t="n">
        <v>44743</v>
      </c>
      <c r="B98" s="24" t="n">
        <v>42.88</v>
      </c>
      <c r="C98" s="16" t="n">
        <v>47.66</v>
      </c>
      <c r="D98" s="33" t="n">
        <v>-4.78</v>
      </c>
    </row>
    <row r="99">
      <c r="A99" s="15" t="n">
        <v>44774</v>
      </c>
      <c r="B99" s="24" t="n">
        <v>42.37</v>
      </c>
      <c r="C99" s="16" t="n">
        <v>29.07</v>
      </c>
      <c r="D99" s="32" t="n">
        <v>13.3</v>
      </c>
    </row>
    <row r="100">
      <c r="A100" s="15" t="n">
        <v>44805</v>
      </c>
      <c r="B100" s="24" t="n">
        <v>41.86</v>
      </c>
      <c r="C100" s="16" t="n">
        <v>55.11</v>
      </c>
      <c r="D100" s="32" t="n">
        <v>-13.25</v>
      </c>
    </row>
    <row r="101">
      <c r="A101" s="15" t="n">
        <v>44835</v>
      </c>
      <c r="B101" s="24" t="n">
        <v>41.35</v>
      </c>
      <c r="C101" s="16" t="n">
        <v>55.83</v>
      </c>
      <c r="D101" s="32" t="n">
        <v>-14.48</v>
      </c>
    </row>
    <row r="102">
      <c r="A102" s="15" t="n">
        <v>44866</v>
      </c>
      <c r="B102" s="24" t="n">
        <v>41.28</v>
      </c>
      <c r="C102" s="16" t="n">
        <v>49.82</v>
      </c>
      <c r="D102" s="33" t="n">
        <v>-8.539999999999999</v>
      </c>
    </row>
    <row r="103">
      <c r="A103" s="15" t="n">
        <v>44896</v>
      </c>
      <c r="B103" s="24" t="n">
        <v>41.21</v>
      </c>
      <c r="C103" s="16" t="n">
        <v>48.7</v>
      </c>
      <c r="D103" s="33" t="n">
        <v>-7.49</v>
      </c>
    </row>
    <row r="104">
      <c r="A104" s="15" t="n">
        <v>44927</v>
      </c>
      <c r="B104" s="24" t="n">
        <v>41.14</v>
      </c>
      <c r="C104" s="16" t="n">
        <v>56.71</v>
      </c>
      <c r="D104" s="32" t="n">
        <v>-15.57</v>
      </c>
    </row>
    <row r="105">
      <c r="A105" s="15" t="n">
        <v>44958</v>
      </c>
      <c r="B105" s="24" t="n">
        <v>41.66</v>
      </c>
      <c r="C105" s="16" t="n">
        <v>45.45</v>
      </c>
      <c r="D105" s="33" t="n">
        <v>-3.79</v>
      </c>
    </row>
    <row r="106">
      <c r="A106" s="15" t="n">
        <v>44986</v>
      </c>
      <c r="B106" s="24" t="n">
        <v>42.17</v>
      </c>
      <c r="C106" s="16" t="n">
        <v>38.82</v>
      </c>
      <c r="D106" s="33" t="n">
        <v>3.35</v>
      </c>
    </row>
    <row r="107">
      <c r="A107" s="15" t="n">
        <v>45017</v>
      </c>
      <c r="B107" s="24" t="n">
        <v>42.69</v>
      </c>
      <c r="C107" s="16" t="n">
        <v>49.26</v>
      </c>
      <c r="D107" s="33" t="n">
        <v>-6.57</v>
      </c>
    </row>
    <row r="108">
      <c r="A108" s="15" t="n">
        <v>45047</v>
      </c>
      <c r="B108" s="24" t="n">
        <v>43.95</v>
      </c>
      <c r="C108" s="16" t="n">
        <v>44.07</v>
      </c>
      <c r="D108" s="33" t="n">
        <v>-0.12</v>
      </c>
    </row>
    <row r="109">
      <c r="A109" s="15" t="n">
        <v>45078</v>
      </c>
      <c r="B109" s="24" t="n">
        <v>45.2</v>
      </c>
      <c r="C109" s="16" t="n">
        <v>48.82</v>
      </c>
      <c r="D109" s="33" t="n">
        <v>-3.62</v>
      </c>
    </row>
    <row r="110">
      <c r="A110" s="15" t="n">
        <v>45108</v>
      </c>
      <c r="B110" s="24" t="n">
        <v>46.46</v>
      </c>
      <c r="C110" s="16" t="n">
        <v>58.11</v>
      </c>
      <c r="D110" s="32" t="n">
        <v>-11.65</v>
      </c>
    </row>
    <row r="111">
      <c r="A111" s="15" t="n">
        <v>45139</v>
      </c>
      <c r="B111" s="24" t="n">
        <v>46.72</v>
      </c>
      <c r="C111" s="16" t="n">
        <v>66.89</v>
      </c>
      <c r="D111" s="32" t="n">
        <v>-20.17</v>
      </c>
    </row>
    <row r="112">
      <c r="A112" s="15" t="n">
        <v>45170</v>
      </c>
      <c r="B112" s="24" t="n">
        <v>46.97</v>
      </c>
      <c r="C112" s="16" t="n">
        <v>67.97</v>
      </c>
      <c r="D112" s="32" t="n">
        <v>-21</v>
      </c>
    </row>
    <row r="113">
      <c r="A113" s="15" t="n">
        <v>45200</v>
      </c>
      <c r="B113" s="24" t="n">
        <v>47.23</v>
      </c>
      <c r="C113" s="16" t="n">
        <v>55.07</v>
      </c>
      <c r="D113" s="33" t="n">
        <v>-7.84</v>
      </c>
    </row>
    <row r="114">
      <c r="A114" s="15" t="n">
        <v>45231</v>
      </c>
      <c r="B114" s="24" t="n">
        <v>47.27</v>
      </c>
      <c r="C114" s="16" t="n">
        <v>64.88</v>
      </c>
      <c r="D114" s="32" t="n">
        <v>-17.61</v>
      </c>
    </row>
    <row r="115">
      <c r="A115" s="15" t="n">
        <v>45261</v>
      </c>
      <c r="B115" s="24" t="n">
        <v>47.31</v>
      </c>
      <c r="C115" s="16" t="n">
        <v>54.86</v>
      </c>
      <c r="D115" s="33" t="n">
        <v>-7.55</v>
      </c>
    </row>
    <row r="116">
      <c r="A116" s="15" t="n">
        <v>45292</v>
      </c>
      <c r="B116" s="24" t="n">
        <v>47.35</v>
      </c>
      <c r="C116" s="16" t="n">
        <v>52.29</v>
      </c>
      <c r="D116" s="33" t="n">
        <v>-4.94</v>
      </c>
    </row>
    <row r="117">
      <c r="A117" s="15" t="n">
        <v>45323</v>
      </c>
      <c r="B117" s="24" t="n">
        <v>47.51</v>
      </c>
      <c r="C117" s="16" t="n">
        <v>54.03</v>
      </c>
      <c r="D117" s="33" t="n">
        <v>-6.52</v>
      </c>
    </row>
    <row r="118">
      <c r="A118" s="15" t="n">
        <v>45352</v>
      </c>
      <c r="B118" s="24" t="n">
        <v>47.66</v>
      </c>
      <c r="C118" s="16" t="n">
        <v>55.79</v>
      </c>
      <c r="D118" s="33" t="n">
        <v>-8.130000000000001</v>
      </c>
    </row>
    <row r="119">
      <c r="A119" s="15" t="n">
        <v>45383</v>
      </c>
      <c r="B119" s="24" t="n">
        <v>47.82</v>
      </c>
      <c r="C119" s="16" t="n">
        <v>62.21</v>
      </c>
      <c r="D119" s="32" t="n">
        <v>-14.39</v>
      </c>
    </row>
    <row r="120">
      <c r="A120" s="15" t="n">
        <v>45413</v>
      </c>
      <c r="B120" s="24" t="n">
        <v>47.89</v>
      </c>
      <c r="C120" s="16" t="n">
        <v>59.06</v>
      </c>
      <c r="D120" s="32" t="n">
        <v>-11.17</v>
      </c>
    </row>
    <row r="121">
      <c r="A121" s="15" t="n">
        <v>45444</v>
      </c>
      <c r="B121" s="24" t="n">
        <v>47.96</v>
      </c>
      <c r="C121" s="16" t="n">
        <v>68.25</v>
      </c>
      <c r="D121" s="32" t="n">
        <v>-20.29</v>
      </c>
    </row>
    <row r="122">
      <c r="A122" s="15" t="n">
        <v>45474</v>
      </c>
      <c r="B122" s="24" t="n">
        <v>48.03</v>
      </c>
      <c r="C122" s="16" t="n">
        <v>66.70999999999999</v>
      </c>
      <c r="D122" s="32" t="n">
        <v>-18.68</v>
      </c>
    </row>
    <row r="123">
      <c r="A123" s="15" t="n">
        <v>45505</v>
      </c>
      <c r="B123" s="24" t="n">
        <v>47.87</v>
      </c>
      <c r="C123" s="16" t="n">
        <v>58.95</v>
      </c>
      <c r="D123" s="32" t="n">
        <v>-11.08</v>
      </c>
    </row>
    <row r="124">
      <c r="A124" s="15" t="n">
        <v>45536</v>
      </c>
      <c r="B124" s="24" t="n">
        <v>47.7</v>
      </c>
      <c r="C124" s="16" t="n">
        <v>58.92</v>
      </c>
      <c r="D124" s="32" t="n">
        <v>-11.22</v>
      </c>
    </row>
    <row r="125">
      <c r="A125" s="15" t="n">
        <v>45566</v>
      </c>
      <c r="B125" s="24" t="n">
        <v>47.54</v>
      </c>
      <c r="C125" s="16" t="n">
        <v>58.1</v>
      </c>
      <c r="D125" s="32" t="n">
        <v>-10.56</v>
      </c>
    </row>
    <row r="126">
      <c r="A126" s="15" t="n">
        <v>45597</v>
      </c>
      <c r="B126" s="24" t="n">
        <v>47.43</v>
      </c>
      <c r="C126" s="16" t="n">
        <v>54.5</v>
      </c>
      <c r="D126" s="33" t="n">
        <v>-7.07</v>
      </c>
    </row>
    <row r="127">
      <c r="A127" s="15" t="n">
        <v>45627</v>
      </c>
      <c r="B127" s="24" t="n">
        <v>47.31</v>
      </c>
      <c r="C127" s="16" t="n">
        <v>64.53</v>
      </c>
      <c r="D127" s="32" t="n">
        <v>-17.22</v>
      </c>
    </row>
    <row r="128">
      <c r="A128" s="15" t="n">
        <v>45658</v>
      </c>
      <c r="B128" s="24" t="n">
        <v>47.2</v>
      </c>
      <c r="C128" s="16" t="n">
        <v>85.2</v>
      </c>
      <c r="D128" s="32" t="n">
        <v>-38</v>
      </c>
    </row>
    <row r="129">
      <c r="A129" s="15" t="n">
        <v>45689</v>
      </c>
      <c r="B129" s="24" t="n">
        <v>47.1</v>
      </c>
      <c r="C129" s="16" t="n">
        <v>85.51000000000001</v>
      </c>
      <c r="D129" s="32" t="n">
        <v>-38.41</v>
      </c>
    </row>
    <row r="130">
      <c r="A130" s="15" t="n">
        <v>45717</v>
      </c>
      <c r="B130" s="24" t="n">
        <v>47</v>
      </c>
      <c r="C130" s="16" t="n">
        <v>77.45999999999999</v>
      </c>
      <c r="D130" s="32" t="n">
        <v>-30.46</v>
      </c>
    </row>
    <row r="131">
      <c r="A131" s="15" t="n">
        <v>45748</v>
      </c>
      <c r="B131" s="24" t="n">
        <v>46.9</v>
      </c>
      <c r="C131" s="16" t="n">
        <v>71.73999999999999</v>
      </c>
      <c r="D131" s="32" t="n">
        <v>-24.84</v>
      </c>
    </row>
  </sheetData>
  <mergeCells count="4">
    <mergeCell ref="A78:H78"/>
    <mergeCell ref="A3:H3"/>
    <mergeCell ref="A72:H7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2" customWidth="1" min="5" max="5"/>
    <col width="14" customWidth="1" min="6" max="6"/>
    <col width="18" customWidth="1" min="7" max="7"/>
    <col width="16" customWidth="1" min="8" max="8"/>
    <col width="16" customWidth="1" min="9" max="9"/>
  </cols>
  <sheetData>
    <row r="1">
      <c r="A1" s="12" t="inlineStr">
        <is>
          <t>BTC USD Share % — Relative USD Position Across All Trading Currencies</t>
        </is>
      </c>
    </row>
    <row r="3">
      <c r="A3" s="13" t="inlineStr">
        <is>
          <t>USD trading volume ÷ total volume across all currencies in dataset. Declining share signals relative de-dollarization even if absolute USD volume grows.</t>
        </is>
      </c>
    </row>
    <row r="5">
      <c r="A5" s="10" t="inlineStr">
        <is>
          <t>Date</t>
        </is>
      </c>
      <c r="B5" s="10" t="inlineStr">
        <is>
          <t>Year-Month</t>
        </is>
      </c>
      <c r="C5" s="10" t="inlineStr">
        <is>
          <t>USD Volume</t>
        </is>
      </c>
      <c r="D5" s="10" t="inlineStr">
        <is>
          <t>Total Volume</t>
        </is>
      </c>
      <c r="E5" s="34" t="inlineStr">
        <is>
          <t>USD Share %</t>
        </is>
      </c>
      <c r="F5" s="34" t="inlineStr">
        <is>
          <t>YoY Share Δ%</t>
        </is>
      </c>
      <c r="G5" s="14" t="inlineStr">
        <is>
          <t>H-W Share Forecast</t>
        </is>
      </c>
      <c r="H5" s="14" t="inlineStr">
        <is>
          <t>H-W Lower 90%</t>
        </is>
      </c>
      <c r="I5" s="14" t="inlineStr">
        <is>
          <t>H-W Upper 90%</t>
        </is>
      </c>
    </row>
    <row r="6">
      <c r="A6" s="15" t="n">
        <v>44927</v>
      </c>
      <c r="B6" t="inlineStr">
        <is>
          <t>2023-01</t>
        </is>
      </c>
      <c r="C6" s="22" t="n">
        <v>1120859.474410597</v>
      </c>
      <c r="D6" s="22" t="n">
        <v>1206273.905500446</v>
      </c>
      <c r="E6" s="28" t="n">
        <v>92.92</v>
      </c>
      <c r="F6" s="35" t="n">
        <v>12.56</v>
      </c>
    </row>
    <row r="7">
      <c r="A7" s="15" t="n">
        <v>44958</v>
      </c>
      <c r="B7" t="inlineStr">
        <is>
          <t>2023-02</t>
        </is>
      </c>
      <c r="C7" s="22" t="n">
        <v>568136.3401618357</v>
      </c>
      <c r="D7" s="22" t="n">
        <v>636445.7525331074</v>
      </c>
      <c r="E7" s="28" t="n">
        <v>89.27</v>
      </c>
      <c r="F7" s="35" t="n">
        <v>8.050000000000001</v>
      </c>
    </row>
    <row r="8">
      <c r="A8" s="15" t="n">
        <v>44986</v>
      </c>
      <c r="B8" t="inlineStr">
        <is>
          <t>2023-03</t>
        </is>
      </c>
      <c r="C8" s="22" t="n">
        <v>980029.5843149674</v>
      </c>
      <c r="D8" s="22" t="n">
        <v>1100984.644044708</v>
      </c>
      <c r="E8" s="28" t="n">
        <v>89.01000000000001</v>
      </c>
      <c r="F8" s="35" t="n">
        <v>5.84</v>
      </c>
    </row>
    <row r="9">
      <c r="A9" s="15" t="n">
        <v>45017</v>
      </c>
      <c r="B9" t="inlineStr">
        <is>
          <t>2023-04</t>
        </is>
      </c>
      <c r="C9" s="22" t="n">
        <v>582083.9369515142</v>
      </c>
      <c r="D9" s="22" t="n">
        <v>658700.5744786079</v>
      </c>
      <c r="E9" s="28" t="n">
        <v>88.37</v>
      </c>
      <c r="F9" s="35" t="n">
        <v>4.41</v>
      </c>
    </row>
    <row r="10">
      <c r="A10" s="15" t="n">
        <v>45047</v>
      </c>
      <c r="B10" t="inlineStr">
        <is>
          <t>2023-05</t>
        </is>
      </c>
      <c r="C10" s="22" t="n">
        <v>527453.4837486562</v>
      </c>
      <c r="D10" s="22" t="n">
        <v>603386.8466882376</v>
      </c>
      <c r="E10" s="28" t="n">
        <v>87.42</v>
      </c>
      <c r="F10" s="35" t="n">
        <v>2.29</v>
      </c>
    </row>
    <row r="11">
      <c r="A11" s="15" t="n">
        <v>45078</v>
      </c>
      <c r="B11" t="inlineStr">
        <is>
          <t>2023-06</t>
        </is>
      </c>
      <c r="C11" s="22" t="n">
        <v>616422.4626516488</v>
      </c>
      <c r="D11" s="22" t="n">
        <v>693581.6288840278</v>
      </c>
      <c r="E11" s="28" t="n">
        <v>88.88</v>
      </c>
      <c r="F11" s="35" t="n">
        <v>1.91</v>
      </c>
    </row>
    <row r="12">
      <c r="A12" s="15" t="n">
        <v>45108</v>
      </c>
      <c r="B12" t="inlineStr">
        <is>
          <t>2023-07</t>
        </is>
      </c>
      <c r="C12" s="22" t="n">
        <v>407548.8420285677</v>
      </c>
      <c r="D12" s="22" t="n">
        <v>457822.2910425026</v>
      </c>
      <c r="E12" s="28" t="n">
        <v>89.02</v>
      </c>
      <c r="F12" s="35" t="n">
        <v>1.34</v>
      </c>
    </row>
    <row r="13">
      <c r="A13" s="15" t="n">
        <v>45139</v>
      </c>
      <c r="B13" t="inlineStr">
        <is>
          <t>2023-08</t>
        </is>
      </c>
      <c r="C13" s="22" t="n">
        <v>446069.0627903188</v>
      </c>
      <c r="D13" s="22" t="n">
        <v>510355.2969880177</v>
      </c>
      <c r="E13" s="28" t="n">
        <v>87.40000000000001</v>
      </c>
      <c r="F13" s="35" t="n">
        <v>16.97</v>
      </c>
    </row>
    <row r="14">
      <c r="A14" s="15" t="n">
        <v>45170</v>
      </c>
      <c r="B14" t="inlineStr">
        <is>
          <t>2023-09</t>
        </is>
      </c>
      <c r="C14" s="22" t="n">
        <v>411038.1451412573</v>
      </c>
      <c r="D14" s="22" t="n">
        <v>463376.4822876786</v>
      </c>
      <c r="E14" s="28" t="n">
        <v>88.70999999999999</v>
      </c>
      <c r="F14" s="36" t="n">
        <v>-3.32</v>
      </c>
    </row>
    <row r="15">
      <c r="A15" s="15" t="n">
        <v>45200</v>
      </c>
      <c r="B15" t="inlineStr">
        <is>
          <t>2023-10</t>
        </is>
      </c>
      <c r="C15" s="22" t="n">
        <v>601590.0941477743</v>
      </c>
      <c r="D15" s="22" t="n">
        <v>670840.3525285829</v>
      </c>
      <c r="E15" s="28" t="n">
        <v>89.68000000000001</v>
      </c>
      <c r="F15" s="36" t="n">
        <v>-3.93</v>
      </c>
    </row>
    <row r="16">
      <c r="A16" s="15" t="n">
        <v>45231</v>
      </c>
      <c r="B16" t="inlineStr">
        <is>
          <t>2023-11</t>
        </is>
      </c>
      <c r="C16" s="22" t="n">
        <v>542395.5722366964</v>
      </c>
      <c r="D16" s="22" t="n">
        <v>610178.7688481968</v>
      </c>
      <c r="E16" s="28" t="n">
        <v>88.89</v>
      </c>
      <c r="F16" s="36" t="n">
        <v>-3.64</v>
      </c>
    </row>
    <row r="17">
      <c r="A17" s="15" t="n">
        <v>45261</v>
      </c>
      <c r="B17" t="inlineStr">
        <is>
          <t>2023-12</t>
        </is>
      </c>
      <c r="C17" s="22" t="n">
        <v>567583.1597905676</v>
      </c>
      <c r="D17" s="22" t="n">
        <v>635720.1769640077</v>
      </c>
      <c r="E17" s="28" t="n">
        <v>89.28</v>
      </c>
      <c r="F17" s="36" t="n">
        <v>-4</v>
      </c>
    </row>
    <row r="18">
      <c r="A18" s="15" t="n">
        <v>45292</v>
      </c>
      <c r="B18" t="inlineStr">
        <is>
          <t>2024-01</t>
        </is>
      </c>
      <c r="C18" s="22" t="n">
        <v>773514.0644604544</v>
      </c>
      <c r="D18" s="22" t="n">
        <v>841583.8043516765</v>
      </c>
      <c r="E18" s="28" t="n">
        <v>91.91</v>
      </c>
      <c r="F18" s="36" t="n">
        <v>-1.09</v>
      </c>
    </row>
    <row r="19">
      <c r="A19" s="15" t="n">
        <v>45323</v>
      </c>
      <c r="B19" t="inlineStr">
        <is>
          <t>2024-02</t>
        </is>
      </c>
      <c r="C19" s="22" t="n">
        <v>596183.9643487416</v>
      </c>
      <c r="D19" s="22" t="n">
        <v>652440.6651192594</v>
      </c>
      <c r="E19" s="28" t="n">
        <v>91.38</v>
      </c>
      <c r="F19" s="35" t="n">
        <v>2.36</v>
      </c>
    </row>
    <row r="20">
      <c r="A20" s="15" t="n">
        <v>45352</v>
      </c>
      <c r="B20" t="inlineStr">
        <is>
          <t>2024-03</t>
        </is>
      </c>
      <c r="C20" s="22" t="n">
        <v>946399.4488559706</v>
      </c>
      <c r="D20" s="22" t="n">
        <v>1025483.78605744</v>
      </c>
      <c r="E20" s="28" t="n">
        <v>92.29000000000001</v>
      </c>
      <c r="F20" s="35" t="n">
        <v>3.68</v>
      </c>
    </row>
    <row r="21">
      <c r="A21" s="15" t="n">
        <v>45383</v>
      </c>
      <c r="B21" t="inlineStr">
        <is>
          <t>2024-04</t>
        </is>
      </c>
      <c r="C21" s="22" t="n">
        <v>607230.4029547573</v>
      </c>
      <c r="D21" s="22" t="n">
        <v>658492.2998184701</v>
      </c>
      <c r="E21" s="28" t="n">
        <v>92.22</v>
      </c>
      <c r="F21" s="35" t="n">
        <v>4.36</v>
      </c>
    </row>
    <row r="22">
      <c r="A22" s="15" t="n">
        <v>45413</v>
      </c>
      <c r="B22" t="inlineStr">
        <is>
          <t>2024-05</t>
        </is>
      </c>
      <c r="C22" s="22" t="n">
        <v>444711.5958395036</v>
      </c>
      <c r="D22" s="22" t="n">
        <v>481805.5950289987</v>
      </c>
      <c r="E22" s="28" t="n">
        <v>92.3</v>
      </c>
      <c r="F22" s="35" t="n">
        <v>5.58</v>
      </c>
    </row>
    <row r="23">
      <c r="A23" s="15" t="n">
        <v>45444</v>
      </c>
      <c r="B23" t="inlineStr">
        <is>
          <t>2024-06</t>
        </is>
      </c>
      <c r="C23" s="22" t="n">
        <v>383784.3971995569</v>
      </c>
      <c r="D23" s="22" t="n">
        <v>414960.4311247648</v>
      </c>
      <c r="E23" s="28" t="n">
        <v>92.48999999999999</v>
      </c>
      <c r="F23" s="35" t="n">
        <v>4.06</v>
      </c>
    </row>
    <row r="24">
      <c r="A24" s="15" t="n">
        <v>45474</v>
      </c>
      <c r="B24" t="inlineStr">
        <is>
          <t>2024-07</t>
        </is>
      </c>
      <c r="C24" s="22" t="n">
        <v>479047.8565744375</v>
      </c>
      <c r="D24" s="22" t="n">
        <v>529144.5622241775</v>
      </c>
      <c r="E24" s="28" t="n">
        <v>90.53</v>
      </c>
      <c r="F24" s="35" t="n">
        <v>1.7</v>
      </c>
    </row>
    <row r="25">
      <c r="A25" s="15" t="n">
        <v>45505</v>
      </c>
      <c r="B25" t="inlineStr">
        <is>
          <t>2024-08</t>
        </is>
      </c>
      <c r="C25" s="22" t="n">
        <v>529331.9006792777</v>
      </c>
      <c r="D25" s="22" t="n">
        <v>581565.8001984279</v>
      </c>
      <c r="E25" s="28" t="n">
        <v>91.02</v>
      </c>
      <c r="F25" s="35" t="n">
        <v>4.14</v>
      </c>
    </row>
    <row r="26">
      <c r="A26" s="15" t="n">
        <v>45536</v>
      </c>
      <c r="B26" t="inlineStr">
        <is>
          <t>2024-09</t>
        </is>
      </c>
      <c r="C26" s="22" t="n">
        <v>334638.1463050178</v>
      </c>
      <c r="D26" s="22" t="n">
        <v>365570.4993290078</v>
      </c>
      <c r="E26" s="28" t="n">
        <v>91.54000000000001</v>
      </c>
      <c r="F26" s="35" t="n">
        <v>3.19</v>
      </c>
    </row>
    <row r="27">
      <c r="A27" s="15" t="n">
        <v>45566</v>
      </c>
      <c r="B27" t="inlineStr">
        <is>
          <t>2024-10</t>
        </is>
      </c>
      <c r="C27" s="22" t="n">
        <v>388901.99684958</v>
      </c>
      <c r="D27" s="22" t="n">
        <v>421791.8055238401</v>
      </c>
      <c r="E27" s="28" t="n">
        <v>92.2</v>
      </c>
      <c r="F27" s="35" t="n">
        <v>2.81</v>
      </c>
    </row>
    <row r="28">
      <c r="A28" s="15" t="n">
        <v>45597</v>
      </c>
      <c r="B28" t="inlineStr">
        <is>
          <t>2024-11</t>
        </is>
      </c>
      <c r="C28" s="22" t="n">
        <v>733959.5211183091</v>
      </c>
      <c r="D28" s="22" t="n">
        <v>800040.7567459591</v>
      </c>
      <c r="E28" s="28" t="n">
        <v>91.73999999999999</v>
      </c>
      <c r="F28" s="35" t="n">
        <v>3.21</v>
      </c>
    </row>
    <row r="29">
      <c r="A29" s="15" t="n">
        <v>45627</v>
      </c>
      <c r="B29" t="inlineStr">
        <is>
          <t>2024-12</t>
        </is>
      </c>
      <c r="C29" s="22" t="n">
        <v>546450.4109586277</v>
      </c>
      <c r="D29" s="22" t="n">
        <v>589885.3130764278</v>
      </c>
      <c r="E29" s="28" t="n">
        <v>92.64</v>
      </c>
      <c r="F29" s="35" t="n">
        <v>3.76</v>
      </c>
    </row>
    <row r="30">
      <c r="A30" s="15" t="n">
        <v>45658</v>
      </c>
      <c r="B30" t="inlineStr">
        <is>
          <t>2025-01</t>
        </is>
      </c>
      <c r="C30" s="22" t="n">
        <v>478311.3838230483</v>
      </c>
      <c r="D30" s="22" t="n">
        <v>517129.8803690483</v>
      </c>
      <c r="E30" s="28" t="n">
        <v>92.48999999999999</v>
      </c>
      <c r="F30" s="35" t="n">
        <v>0.63</v>
      </c>
    </row>
    <row r="31">
      <c r="A31" s="15" t="n">
        <v>45689</v>
      </c>
      <c r="B31" t="inlineStr">
        <is>
          <t>2025-02</t>
        </is>
      </c>
      <c r="C31" s="22" t="n">
        <v>416979.9466244085</v>
      </c>
      <c r="D31" s="22" t="n">
        <v>452317.2872960485</v>
      </c>
      <c r="E31" s="28" t="n">
        <v>92.19</v>
      </c>
      <c r="F31" s="35" t="n">
        <v>0.89</v>
      </c>
    </row>
    <row r="32">
      <c r="A32" s="15" t="n">
        <v>45717</v>
      </c>
      <c r="B32" t="inlineStr">
        <is>
          <t>2025-03</t>
        </is>
      </c>
      <c r="C32" s="22" t="n">
        <v>431773.2933138491</v>
      </c>
      <c r="D32" s="22" t="n">
        <v>470530.1719588091</v>
      </c>
      <c r="E32" s="28" t="n">
        <v>91.76000000000001</v>
      </c>
      <c r="F32" s="36" t="n">
        <v>-0.57</v>
      </c>
    </row>
    <row r="33">
      <c r="A33" s="15" t="n">
        <v>45748</v>
      </c>
      <c r="B33" t="inlineStr">
        <is>
          <t>2025-04</t>
        </is>
      </c>
      <c r="C33" s="22" t="n">
        <v>378503.8909684971</v>
      </c>
      <c r="D33" s="22" t="n">
        <v>414792.5879150471</v>
      </c>
      <c r="E33" s="28" t="n">
        <v>91.25</v>
      </c>
      <c r="F33" s="36" t="n">
        <v>-1.05</v>
      </c>
    </row>
    <row r="34">
      <c r="A34" s="15" t="n">
        <v>45778</v>
      </c>
      <c r="B34" t="inlineStr">
        <is>
          <t>2025-05</t>
        </is>
      </c>
      <c r="C34" s="22" t="n">
        <v>292334.5084526282</v>
      </c>
      <c r="D34" s="22" t="n">
        <v>317964.7237802782</v>
      </c>
      <c r="E34" s="28" t="n">
        <v>91.94</v>
      </c>
      <c r="F34" s="36" t="n">
        <v>-0.39</v>
      </c>
    </row>
    <row r="35">
      <c r="A35" s="15" t="n">
        <v>45809</v>
      </c>
      <c r="B35" t="inlineStr">
        <is>
          <t>2025-06</t>
        </is>
      </c>
      <c r="C35" s="22" t="n">
        <v>211542.0537042193</v>
      </c>
      <c r="D35" s="22" t="n">
        <v>233031.9372139793</v>
      </c>
      <c r="E35" s="28" t="n">
        <v>90.78</v>
      </c>
      <c r="F35" s="36" t="n">
        <v>-1.85</v>
      </c>
    </row>
    <row r="36">
      <c r="A36" s="15" t="n">
        <v>45839</v>
      </c>
      <c r="B36" t="inlineStr">
        <is>
          <t>2025-07</t>
        </is>
      </c>
      <c r="C36" s="22" t="n">
        <v>288313.6948475883</v>
      </c>
      <c r="D36" s="22" t="n">
        <v>312945.1975121283</v>
      </c>
      <c r="E36" s="28" t="n">
        <v>92.13</v>
      </c>
      <c r="F36" s="35" t="n">
        <v>1.77</v>
      </c>
    </row>
    <row r="37">
      <c r="A37" s="15" t="n">
        <v>45870</v>
      </c>
      <c r="B37" t="inlineStr">
        <is>
          <t>2025-08</t>
        </is>
      </c>
      <c r="C37" s="22" t="n">
        <v>198628.3451091391</v>
      </c>
      <c r="D37" s="22" t="n">
        <v>218764.6252896391</v>
      </c>
      <c r="E37" s="28" t="n">
        <v>90.8</v>
      </c>
      <c r="F37" s="36" t="n">
        <v>-0.24</v>
      </c>
    </row>
    <row r="38">
      <c r="A38" s="15" t="n">
        <v>45901</v>
      </c>
      <c r="B38" t="inlineStr">
        <is>
          <t>2025-09</t>
        </is>
      </c>
      <c r="C38" s="22" t="n">
        <v>70601.65327628002</v>
      </c>
      <c r="D38" s="22" t="n">
        <v>82191.26954317001</v>
      </c>
      <c r="E38" s="28" t="n">
        <v>85.90000000000001</v>
      </c>
      <c r="F38" s="36" t="n">
        <v>-6.16</v>
      </c>
    </row>
    <row r="39">
      <c r="A39" s="15" t="n">
        <v>45931</v>
      </c>
      <c r="B39" t="inlineStr">
        <is>
          <t>2025-10</t>
        </is>
      </c>
      <c r="C39" s="22" t="n">
        <v>123576.1025069498</v>
      </c>
      <c r="D39" s="22" t="n">
        <v>142138.4295348398</v>
      </c>
      <c r="E39" s="28" t="n">
        <v>86.94</v>
      </c>
      <c r="F39" s="36" t="n">
        <v>-5.7</v>
      </c>
    </row>
    <row r="40">
      <c r="A40" s="15" t="n">
        <v>45962</v>
      </c>
      <c r="B40" t="inlineStr">
        <is>
          <t>2025-11</t>
        </is>
      </c>
      <c r="C40" s="22" t="n">
        <v>158586.4800672596</v>
      </c>
      <c r="D40" s="22" t="n">
        <v>179174.7286685396</v>
      </c>
      <c r="E40" s="28" t="n">
        <v>88.51000000000001</v>
      </c>
      <c r="F40" s="36" t="n">
        <v>-3.52</v>
      </c>
    </row>
    <row r="41">
      <c r="A41" s="15" t="n">
        <v>45992</v>
      </c>
      <c r="B41" t="inlineStr">
        <is>
          <t>2025-12</t>
        </is>
      </c>
      <c r="C41" s="22" t="n">
        <v>91871.8035766696</v>
      </c>
      <c r="D41" s="22" t="n">
        <v>102434.4760054596</v>
      </c>
      <c r="E41" s="28" t="n">
        <v>89.69</v>
      </c>
      <c r="F41" s="36" t="n">
        <v>-3.18</v>
      </c>
    </row>
    <row r="42">
      <c r="A42" s="15" t="n">
        <v>46023</v>
      </c>
      <c r="B42" t="inlineStr">
        <is>
          <t>2026-01</t>
        </is>
      </c>
      <c r="G42" s="29" t="n">
        <v>90.95999999999999</v>
      </c>
      <c r="H42" s="30" t="n">
        <v>88.18000000000001</v>
      </c>
      <c r="I42" s="30" t="n">
        <v>93.69</v>
      </c>
    </row>
    <row r="43">
      <c r="A43" s="15" t="n">
        <v>46054</v>
      </c>
      <c r="B43" t="inlineStr">
        <is>
          <t>2026-02</t>
        </is>
      </c>
      <c r="G43" s="29" t="n">
        <v>89.47</v>
      </c>
      <c r="H43" s="30" t="n">
        <v>85.98</v>
      </c>
      <c r="I43" s="30" t="n">
        <v>92.91</v>
      </c>
    </row>
    <row r="44">
      <c r="A44" s="15" t="n">
        <v>46082</v>
      </c>
      <c r="B44" t="inlineStr">
        <is>
          <t>2026-03</t>
        </is>
      </c>
      <c r="G44" s="29" t="n">
        <v>89.54000000000001</v>
      </c>
      <c r="H44" s="30" t="n">
        <v>85.37</v>
      </c>
      <c r="I44" s="30" t="n">
        <v>93.58</v>
      </c>
    </row>
    <row r="45">
      <c r="A45" s="15" t="n">
        <v>46113</v>
      </c>
      <c r="B45" t="inlineStr">
        <is>
          <t>2026-04</t>
        </is>
      </c>
      <c r="G45" s="29" t="n">
        <v>89.14</v>
      </c>
      <c r="H45" s="30" t="n">
        <v>84.7</v>
      </c>
      <c r="I45" s="30" t="n">
        <v>93.59</v>
      </c>
    </row>
    <row r="46">
      <c r="A46" s="15" t="n">
        <v>46143</v>
      </c>
      <c r="B46" t="inlineStr">
        <is>
          <t>2026-05</t>
        </is>
      </c>
      <c r="G46" s="29" t="n">
        <v>89.08</v>
      </c>
      <c r="H46" s="30" t="n">
        <v>84.45999999999999</v>
      </c>
      <c r="I46" s="30" t="n">
        <v>93.93000000000001</v>
      </c>
    </row>
    <row r="47">
      <c r="A47" s="15" t="n">
        <v>46174</v>
      </c>
      <c r="B47" t="inlineStr">
        <is>
          <t>2026-06</t>
        </is>
      </c>
      <c r="G47" s="29" t="n">
        <v>89.23999999999999</v>
      </c>
      <c r="H47" s="30" t="n">
        <v>83.72</v>
      </c>
      <c r="I47" s="30" t="n">
        <v>94.92</v>
      </c>
    </row>
    <row r="48">
      <c r="A48" s="15" t="n">
        <v>46204</v>
      </c>
      <c r="B48" t="inlineStr">
        <is>
          <t>2026-07</t>
        </is>
      </c>
      <c r="G48" s="29" t="n">
        <v>89.08</v>
      </c>
      <c r="H48" s="30" t="n">
        <v>83.20999999999999</v>
      </c>
      <c r="I48" s="30" t="n">
        <v>94.93000000000001</v>
      </c>
    </row>
    <row r="49">
      <c r="A49" s="15" t="n">
        <v>46235</v>
      </c>
      <c r="B49" t="inlineStr">
        <is>
          <t>2026-08</t>
        </is>
      </c>
      <c r="G49" s="29" t="n">
        <v>88.26000000000001</v>
      </c>
      <c r="H49" s="30" t="n">
        <v>82.25</v>
      </c>
      <c r="I49" s="30" t="n">
        <v>94.58</v>
      </c>
    </row>
    <row r="50">
      <c r="A50" s="15" t="n">
        <v>46266</v>
      </c>
      <c r="B50" t="inlineStr">
        <is>
          <t>2026-09</t>
        </is>
      </c>
      <c r="G50" s="29" t="n">
        <v>87.23999999999999</v>
      </c>
      <c r="H50" s="30" t="n">
        <v>81.3</v>
      </c>
      <c r="I50" s="30" t="n">
        <v>94.12</v>
      </c>
    </row>
    <row r="51">
      <c r="A51" s="15" t="n">
        <v>46296</v>
      </c>
      <c r="B51" t="inlineStr">
        <is>
          <t>2026-10</t>
        </is>
      </c>
      <c r="G51" s="29" t="n">
        <v>88.13</v>
      </c>
      <c r="H51" s="30" t="n">
        <v>81.83</v>
      </c>
      <c r="I51" s="30" t="n">
        <v>95.16</v>
      </c>
    </row>
    <row r="52">
      <c r="A52" s="15" t="n">
        <v>46327</v>
      </c>
      <c r="B52" t="inlineStr">
        <is>
          <t>2026-11</t>
        </is>
      </c>
      <c r="G52" s="29" t="n">
        <v>88.23999999999999</v>
      </c>
      <c r="H52" s="30" t="n">
        <v>81.45999999999999</v>
      </c>
      <c r="I52" s="30" t="n">
        <v>95.84999999999999</v>
      </c>
    </row>
    <row r="53">
      <c r="A53" s="15" t="n">
        <v>46357</v>
      </c>
      <c r="B53" t="inlineStr">
        <is>
          <t>2026-12</t>
        </is>
      </c>
      <c r="G53" s="29" t="n">
        <v>89.06</v>
      </c>
      <c r="H53" s="30" t="n">
        <v>82.22</v>
      </c>
      <c r="I53" s="30" t="n">
        <v>96.95999999999999</v>
      </c>
    </row>
    <row r="56">
      <c r="A56" s="3" t="inlineStr">
        <is>
          <t>MODEL VALIDATION — 6-month hold-out backtest (H-W (USD Share %))</t>
        </is>
      </c>
    </row>
    <row r="57">
      <c r="A57" s="21" t="inlineStr">
        <is>
          <t>MAE  (Mean Absolute Error)</t>
        </is>
      </c>
      <c r="B57" s="22" t="n">
        <v>2.1389</v>
      </c>
      <c r="C57" s="23" t="inlineStr">
        <is>
          <t>Lower = better</t>
        </is>
      </c>
    </row>
    <row r="58">
      <c r="A58" s="21" t="inlineStr">
        <is>
          <t>RMSE (Root Mean Square Error)</t>
        </is>
      </c>
      <c r="B58" s="22" t="n">
        <v>2.7063</v>
      </c>
      <c r="C58" s="23" t="inlineStr">
        <is>
          <t>Penalises large misses</t>
        </is>
      </c>
    </row>
    <row r="59">
      <c r="A59" s="21" t="inlineStr">
        <is>
          <t>MAPE (Mean Absolute % Error)</t>
        </is>
      </c>
      <c r="B59" s="24" t="n">
        <v>2.4399</v>
      </c>
      <c r="C59" s="23" t="inlineStr">
        <is>
          <t>&lt;10% good · &lt;5% excellent</t>
        </is>
      </c>
    </row>
  </sheetData>
  <mergeCells count="3">
    <mergeCell ref="A1:I1"/>
    <mergeCell ref="A56:I56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3" customWidth="1" min="4" max="4"/>
    <col width="13" customWidth="1" min="5" max="5"/>
    <col width="13" customWidth="1" min="6" max="6"/>
    <col width="18" customWidth="1" min="7" max="7"/>
    <col width="16" customWidth="1" min="8" max="8"/>
    <col width="16" customWidth="1" min="9" max="9"/>
    <col width="12" customWidth="1" min="10" max="10"/>
  </cols>
  <sheetData>
    <row r="1">
      <c r="A1" s="12" t="inlineStr">
        <is>
          <t>BTC USD Trading Volume Forecast — 3-MA · 6-MA · Holt-Winters 12-Month</t>
        </is>
      </c>
    </row>
    <row r="5">
      <c r="A5" s="10" t="inlineStr">
        <is>
          <t>Date</t>
        </is>
      </c>
      <c r="B5" s="10" t="inlineStr">
        <is>
          <t>Year-Month</t>
        </is>
      </c>
      <c r="C5" s="10" t="inlineStr">
        <is>
          <t>Actual USD Vol</t>
        </is>
      </c>
      <c r="D5" s="34" t="inlineStr">
        <is>
          <t>YoY Vol Δ%</t>
        </is>
      </c>
      <c r="E5" s="34" t="inlineStr">
        <is>
          <t>3-Month MA</t>
        </is>
      </c>
      <c r="F5" s="34" t="inlineStr">
        <is>
          <t>6-Month MA</t>
        </is>
      </c>
      <c r="G5" s="14" t="inlineStr">
        <is>
          <t>H-W Forecast</t>
        </is>
      </c>
      <c r="H5" s="14" t="inlineStr">
        <is>
          <t>H-W Lower 90%</t>
        </is>
      </c>
      <c r="I5" s="14" t="inlineStr">
        <is>
          <t>H-W Upper 90%</t>
        </is>
      </c>
      <c r="J5" s="10" t="inlineStr">
        <is>
          <t>Type</t>
        </is>
      </c>
    </row>
    <row r="6">
      <c r="A6" s="15" t="n">
        <v>45292</v>
      </c>
      <c r="B6" t="inlineStr">
        <is>
          <t>2024-01</t>
        </is>
      </c>
      <c r="C6" s="22" t="n">
        <v>773514.0644604544</v>
      </c>
      <c r="D6" s="36" t="n">
        <v>-30.99</v>
      </c>
      <c r="J6" t="inlineStr">
        <is>
          <t>Historical</t>
        </is>
      </c>
    </row>
    <row r="7">
      <c r="A7" s="15" t="n">
        <v>45323</v>
      </c>
      <c r="B7" t="inlineStr">
        <is>
          <t>2024-02</t>
        </is>
      </c>
      <c r="C7" s="22" t="n">
        <v>596183.9643487416</v>
      </c>
      <c r="D7" s="35" t="n">
        <v>4.94</v>
      </c>
      <c r="J7" t="inlineStr">
        <is>
          <t>Historical</t>
        </is>
      </c>
    </row>
    <row r="8">
      <c r="A8" s="15" t="n">
        <v>45352</v>
      </c>
      <c r="B8" t="inlineStr">
        <is>
          <t>2024-03</t>
        </is>
      </c>
      <c r="C8" s="22" t="n">
        <v>946399.4488559706</v>
      </c>
      <c r="D8" s="36" t="n">
        <v>-3.43</v>
      </c>
      <c r="E8" s="37">
        <f>AVERAGE(C6:C8)</f>
        <v/>
      </c>
      <c r="J8" t="inlineStr">
        <is>
          <t>Historical</t>
        </is>
      </c>
    </row>
    <row r="9">
      <c r="A9" s="15" t="n">
        <v>45383</v>
      </c>
      <c r="B9" t="inlineStr">
        <is>
          <t>2024-04</t>
        </is>
      </c>
      <c r="C9" s="22" t="n">
        <v>607230.4029547573</v>
      </c>
      <c r="D9" s="35" t="n">
        <v>4.32</v>
      </c>
      <c r="E9" s="37">
        <f>AVERAGE(C7:C9)</f>
        <v/>
      </c>
      <c r="J9" t="inlineStr">
        <is>
          <t>Historical</t>
        </is>
      </c>
    </row>
    <row r="10">
      <c r="A10" s="15" t="n">
        <v>45413</v>
      </c>
      <c r="B10" t="inlineStr">
        <is>
          <t>2024-05</t>
        </is>
      </c>
      <c r="C10" s="22" t="n">
        <v>444711.5958395036</v>
      </c>
      <c r="D10" s="36" t="n">
        <v>-15.69</v>
      </c>
      <c r="E10" s="37">
        <f>AVERAGE(C8:C10)</f>
        <v/>
      </c>
      <c r="J10" t="inlineStr">
        <is>
          <t>Historical</t>
        </is>
      </c>
    </row>
    <row r="11">
      <c r="A11" s="15" t="n">
        <v>45444</v>
      </c>
      <c r="B11" t="inlineStr">
        <is>
          <t>2024-06</t>
        </is>
      </c>
      <c r="C11" s="22" t="n">
        <v>383784.3971995569</v>
      </c>
      <c r="D11" s="36" t="n">
        <v>-37.74</v>
      </c>
      <c r="E11" s="37">
        <f>AVERAGE(C9:C11)</f>
        <v/>
      </c>
      <c r="F11" s="37">
        <f>AVERAGE(C6:C11)</f>
        <v/>
      </c>
      <c r="J11" t="inlineStr">
        <is>
          <t>Historical</t>
        </is>
      </c>
    </row>
    <row r="12">
      <c r="A12" s="15" t="n">
        <v>45474</v>
      </c>
      <c r="B12" t="inlineStr">
        <is>
          <t>2024-07</t>
        </is>
      </c>
      <c r="C12" s="22" t="n">
        <v>479047.8565744375</v>
      </c>
      <c r="D12" s="35" t="n">
        <v>17.54</v>
      </c>
      <c r="E12" s="37">
        <f>AVERAGE(C10:C12)</f>
        <v/>
      </c>
      <c r="F12" s="37">
        <f>AVERAGE(C7:C12)</f>
        <v/>
      </c>
      <c r="J12" t="inlineStr">
        <is>
          <t>Historical</t>
        </is>
      </c>
    </row>
    <row r="13">
      <c r="A13" s="15" t="n">
        <v>45505</v>
      </c>
      <c r="B13" t="inlineStr">
        <is>
          <t>2024-08</t>
        </is>
      </c>
      <c r="C13" s="22" t="n">
        <v>529331.9006792777</v>
      </c>
      <c r="D13" s="35" t="n">
        <v>18.67</v>
      </c>
      <c r="E13" s="37">
        <f>AVERAGE(C11:C13)</f>
        <v/>
      </c>
      <c r="F13" s="37">
        <f>AVERAGE(C8:C13)</f>
        <v/>
      </c>
      <c r="J13" t="inlineStr">
        <is>
          <t>Historical</t>
        </is>
      </c>
    </row>
    <row r="14">
      <c r="A14" s="15" t="n">
        <v>45536</v>
      </c>
      <c r="B14" t="inlineStr">
        <is>
          <t>2024-09</t>
        </is>
      </c>
      <c r="C14" s="22" t="n">
        <v>334638.1463050178</v>
      </c>
      <c r="D14" s="36" t="n">
        <v>-18.59</v>
      </c>
      <c r="E14" s="37">
        <f>AVERAGE(C12:C14)</f>
        <v/>
      </c>
      <c r="F14" s="37">
        <f>AVERAGE(C9:C14)</f>
        <v/>
      </c>
      <c r="J14" t="inlineStr">
        <is>
          <t>Historical</t>
        </is>
      </c>
    </row>
    <row r="15">
      <c r="A15" s="15" t="n">
        <v>45566</v>
      </c>
      <c r="B15" t="inlineStr">
        <is>
          <t>2024-10</t>
        </is>
      </c>
      <c r="C15" s="22" t="n">
        <v>388901.99684958</v>
      </c>
      <c r="D15" s="36" t="n">
        <v>-35.35</v>
      </c>
      <c r="E15" s="37">
        <f>AVERAGE(C13:C15)</f>
        <v/>
      </c>
      <c r="F15" s="37">
        <f>AVERAGE(C10:C15)</f>
        <v/>
      </c>
      <c r="J15" t="inlineStr">
        <is>
          <t>Historical</t>
        </is>
      </c>
    </row>
    <row r="16">
      <c r="A16" s="15" t="n">
        <v>45597</v>
      </c>
      <c r="B16" t="inlineStr">
        <is>
          <t>2024-11</t>
        </is>
      </c>
      <c r="C16" s="22" t="n">
        <v>733959.5211183091</v>
      </c>
      <c r="D16" s="35" t="n">
        <v>35.32</v>
      </c>
      <c r="E16" s="37">
        <f>AVERAGE(C14:C16)</f>
        <v/>
      </c>
      <c r="F16" s="37">
        <f>AVERAGE(C11:C16)</f>
        <v/>
      </c>
      <c r="J16" t="inlineStr">
        <is>
          <t>Historical</t>
        </is>
      </c>
    </row>
    <row r="17">
      <c r="A17" s="15" t="n">
        <v>45627</v>
      </c>
      <c r="B17" t="inlineStr">
        <is>
          <t>2024-12</t>
        </is>
      </c>
      <c r="C17" s="22" t="n">
        <v>546450.4109586277</v>
      </c>
      <c r="D17" s="36" t="n">
        <v>-3.72</v>
      </c>
      <c r="E17" s="37">
        <f>AVERAGE(C15:C17)</f>
        <v/>
      </c>
      <c r="F17" s="37">
        <f>AVERAGE(C12:C17)</f>
        <v/>
      </c>
      <c r="J17" t="inlineStr">
        <is>
          <t>Historical</t>
        </is>
      </c>
    </row>
    <row r="18">
      <c r="A18" s="15" t="n">
        <v>45658</v>
      </c>
      <c r="B18" t="inlineStr">
        <is>
          <t>2025-01</t>
        </is>
      </c>
      <c r="C18" s="22" t="n">
        <v>478311.3838230483</v>
      </c>
      <c r="D18" s="36" t="n">
        <v>-38.16</v>
      </c>
      <c r="E18" s="37">
        <f>AVERAGE(C16:C18)</f>
        <v/>
      </c>
      <c r="F18" s="37">
        <f>AVERAGE(C13:C18)</f>
        <v/>
      </c>
      <c r="J18" t="inlineStr">
        <is>
          <t>Historical</t>
        </is>
      </c>
    </row>
    <row r="19">
      <c r="A19" s="15" t="n">
        <v>45689</v>
      </c>
      <c r="B19" t="inlineStr">
        <is>
          <t>2025-02</t>
        </is>
      </c>
      <c r="C19" s="22" t="n">
        <v>416979.9466244085</v>
      </c>
      <c r="D19" s="36" t="n">
        <v>-30.06</v>
      </c>
      <c r="E19" s="37">
        <f>AVERAGE(C17:C19)</f>
        <v/>
      </c>
      <c r="F19" s="37">
        <f>AVERAGE(C14:C19)</f>
        <v/>
      </c>
      <c r="J19" t="inlineStr">
        <is>
          <t>Historical</t>
        </is>
      </c>
    </row>
    <row r="20">
      <c r="A20" s="15" t="n">
        <v>45717</v>
      </c>
      <c r="B20" t="inlineStr">
        <is>
          <t>2025-03</t>
        </is>
      </c>
      <c r="C20" s="22" t="n">
        <v>431773.2933138491</v>
      </c>
      <c r="D20" s="36" t="n">
        <v>-54.38</v>
      </c>
      <c r="E20" s="37">
        <f>AVERAGE(C18:C20)</f>
        <v/>
      </c>
      <c r="F20" s="37">
        <f>AVERAGE(C15:C20)</f>
        <v/>
      </c>
      <c r="J20" t="inlineStr">
        <is>
          <t>Historical</t>
        </is>
      </c>
    </row>
    <row r="21">
      <c r="A21" s="15" t="n">
        <v>45748</v>
      </c>
      <c r="B21" t="inlineStr">
        <is>
          <t>2025-04</t>
        </is>
      </c>
      <c r="C21" s="22" t="n">
        <v>378503.8909684971</v>
      </c>
      <c r="D21" s="36" t="n">
        <v>-37.67</v>
      </c>
      <c r="E21" s="37">
        <f>AVERAGE(C19:C21)</f>
        <v/>
      </c>
      <c r="F21" s="37">
        <f>AVERAGE(C16:C21)</f>
        <v/>
      </c>
      <c r="J21" t="inlineStr">
        <is>
          <t>Historical</t>
        </is>
      </c>
    </row>
    <row r="22">
      <c r="A22" s="15" t="n">
        <v>45778</v>
      </c>
      <c r="B22" t="inlineStr">
        <is>
          <t>2025-05</t>
        </is>
      </c>
      <c r="C22" s="22" t="n">
        <v>292334.5084526282</v>
      </c>
      <c r="D22" s="36" t="n">
        <v>-34.26</v>
      </c>
      <c r="E22" s="37">
        <f>AVERAGE(C20:C22)</f>
        <v/>
      </c>
      <c r="F22" s="37">
        <f>AVERAGE(C17:C22)</f>
        <v/>
      </c>
      <c r="J22" t="inlineStr">
        <is>
          <t>Historical</t>
        </is>
      </c>
    </row>
    <row r="23">
      <c r="A23" s="15" t="n">
        <v>45809</v>
      </c>
      <c r="B23" t="inlineStr">
        <is>
          <t>2025-06</t>
        </is>
      </c>
      <c r="C23" s="22" t="n">
        <v>211542.0537042193</v>
      </c>
      <c r="D23" s="36" t="n">
        <v>-44.88</v>
      </c>
      <c r="E23" s="37">
        <f>AVERAGE(C21:C23)</f>
        <v/>
      </c>
      <c r="F23" s="37">
        <f>AVERAGE(C18:C23)</f>
        <v/>
      </c>
      <c r="J23" t="inlineStr">
        <is>
          <t>Historical</t>
        </is>
      </c>
    </row>
    <row r="24">
      <c r="A24" s="15" t="n">
        <v>45839</v>
      </c>
      <c r="B24" t="inlineStr">
        <is>
          <t>2025-07</t>
        </is>
      </c>
      <c r="C24" s="22" t="n">
        <v>288313.6948475883</v>
      </c>
      <c r="D24" s="36" t="n">
        <v>-39.82</v>
      </c>
      <c r="E24" s="37">
        <f>AVERAGE(C22:C24)</f>
        <v/>
      </c>
      <c r="F24" s="37">
        <f>AVERAGE(C19:C24)</f>
        <v/>
      </c>
      <c r="J24" t="inlineStr">
        <is>
          <t>Historical</t>
        </is>
      </c>
    </row>
    <row r="25">
      <c r="A25" s="15" t="n">
        <v>45870</v>
      </c>
      <c r="B25" t="inlineStr">
        <is>
          <t>2025-08</t>
        </is>
      </c>
      <c r="C25" s="22" t="n">
        <v>198628.3451091391</v>
      </c>
      <c r="D25" s="36" t="n">
        <v>-62.48</v>
      </c>
      <c r="E25" s="37">
        <f>AVERAGE(C23:C25)</f>
        <v/>
      </c>
      <c r="F25" s="37">
        <f>AVERAGE(C20:C25)</f>
        <v/>
      </c>
      <c r="J25" t="inlineStr">
        <is>
          <t>Historical</t>
        </is>
      </c>
    </row>
    <row r="26">
      <c r="A26" s="15" t="n">
        <v>45901</v>
      </c>
      <c r="B26" t="inlineStr">
        <is>
          <t>2025-09</t>
        </is>
      </c>
      <c r="C26" s="22" t="n">
        <v>70601.65327628002</v>
      </c>
      <c r="D26" s="36" t="n">
        <v>-78.90000000000001</v>
      </c>
      <c r="E26" s="37">
        <f>AVERAGE(C24:C26)</f>
        <v/>
      </c>
      <c r="F26" s="37">
        <f>AVERAGE(C21:C26)</f>
        <v/>
      </c>
      <c r="J26" t="inlineStr">
        <is>
          <t>Historical</t>
        </is>
      </c>
    </row>
    <row r="27">
      <c r="A27" s="15" t="n">
        <v>45931</v>
      </c>
      <c r="B27" t="inlineStr">
        <is>
          <t>2025-10</t>
        </is>
      </c>
      <c r="C27" s="22" t="n">
        <v>123576.1025069498</v>
      </c>
      <c r="D27" s="36" t="n">
        <v>-68.22</v>
      </c>
      <c r="E27" s="37">
        <f>AVERAGE(C25:C27)</f>
        <v/>
      </c>
      <c r="F27" s="37">
        <f>AVERAGE(C22:C27)</f>
        <v/>
      </c>
      <c r="J27" t="inlineStr">
        <is>
          <t>Historical</t>
        </is>
      </c>
    </row>
    <row r="28">
      <c r="A28" s="15" t="n">
        <v>45962</v>
      </c>
      <c r="B28" t="inlineStr">
        <is>
          <t>2025-11</t>
        </is>
      </c>
      <c r="C28" s="22" t="n">
        <v>158586.4800672596</v>
      </c>
      <c r="D28" s="36" t="n">
        <v>-78.39</v>
      </c>
      <c r="E28" s="37">
        <f>AVERAGE(C26:C28)</f>
        <v/>
      </c>
      <c r="F28" s="37">
        <f>AVERAGE(C23:C28)</f>
        <v/>
      </c>
      <c r="J28" t="inlineStr">
        <is>
          <t>Historical</t>
        </is>
      </c>
    </row>
    <row r="29">
      <c r="A29" s="15" t="n">
        <v>45992</v>
      </c>
      <c r="B29" t="inlineStr">
        <is>
          <t>2025-12</t>
        </is>
      </c>
      <c r="C29" s="22" t="n">
        <v>91871.8035766696</v>
      </c>
      <c r="D29" s="36" t="n">
        <v>-83.19</v>
      </c>
      <c r="E29" s="37">
        <f>AVERAGE(C27:C29)</f>
        <v/>
      </c>
      <c r="F29" s="37">
        <f>AVERAGE(C24:C29)</f>
        <v/>
      </c>
      <c r="J29" t="inlineStr">
        <is>
          <t>Historical</t>
        </is>
      </c>
    </row>
    <row r="30">
      <c r="A30" s="15" t="n">
        <v>46023</v>
      </c>
      <c r="B30" t="inlineStr">
        <is>
          <t>2026-01</t>
        </is>
      </c>
      <c r="G30" s="38" t="n">
        <v>35164.99</v>
      </c>
      <c r="H30" s="39" t="n">
        <v>2481.41</v>
      </c>
      <c r="I30" s="39" t="n">
        <v>62915.92</v>
      </c>
      <c r="J30" s="31" t="inlineStr">
        <is>
          <t>Forecast</t>
        </is>
      </c>
    </row>
    <row r="31">
      <c r="A31" s="15" t="n">
        <v>46054</v>
      </c>
      <c r="B31" t="inlineStr">
        <is>
          <t>2026-02</t>
        </is>
      </c>
      <c r="G31" s="38" t="n">
        <v>-44873.28</v>
      </c>
      <c r="H31" s="39" t="n">
        <v>-90215.67</v>
      </c>
      <c r="I31" s="39" t="n">
        <v>-8235.6</v>
      </c>
      <c r="J31" s="31" t="inlineStr">
        <is>
          <t>Forecast</t>
        </is>
      </c>
    </row>
    <row r="32">
      <c r="A32" s="15" t="n">
        <v>46082</v>
      </c>
      <c r="B32" t="inlineStr">
        <is>
          <t>2026-03</t>
        </is>
      </c>
      <c r="G32" s="38" t="n">
        <v>-17354.04</v>
      </c>
      <c r="H32" s="39" t="n">
        <v>-50985.05</v>
      </c>
      <c r="I32" s="39" t="n">
        <v>1391.18</v>
      </c>
      <c r="J32" s="31" t="inlineStr">
        <is>
          <t>Forecast</t>
        </is>
      </c>
    </row>
    <row r="33">
      <c r="A33" s="15" t="n">
        <v>46113</v>
      </c>
      <c r="B33" t="inlineStr">
        <is>
          <t>2026-04</t>
        </is>
      </c>
      <c r="G33" s="38" t="n">
        <v>-99829.09</v>
      </c>
      <c r="H33" s="39" t="n">
        <v>-193422.82</v>
      </c>
      <c r="I33" s="39" t="n">
        <v>-15869.35</v>
      </c>
      <c r="J33" s="31" t="inlineStr">
        <is>
          <t>Forecast</t>
        </is>
      </c>
    </row>
    <row r="34">
      <c r="A34" s="15" t="n">
        <v>46143</v>
      </c>
      <c r="B34" t="inlineStr">
        <is>
          <t>2026-05</t>
        </is>
      </c>
      <c r="G34" s="38" t="n">
        <v>-185829.22</v>
      </c>
      <c r="H34" s="39" t="n">
        <v>-349335.95</v>
      </c>
      <c r="I34" s="39" t="n">
        <v>-26232.88</v>
      </c>
      <c r="J34" s="31" t="inlineStr">
        <is>
          <t>Forecast</t>
        </is>
      </c>
    </row>
    <row r="35">
      <c r="A35" s="15" t="n">
        <v>46174</v>
      </c>
      <c r="B35" t="inlineStr">
        <is>
          <t>2026-06</t>
        </is>
      </c>
      <c r="G35" s="38" t="n">
        <v>-253340.67</v>
      </c>
      <c r="H35" s="39" t="n">
        <v>-500480.5</v>
      </c>
      <c r="I35" s="39" t="n">
        <v>-28418.14</v>
      </c>
      <c r="J35" s="31" t="inlineStr">
        <is>
          <t>Forecast</t>
        </is>
      </c>
    </row>
    <row r="36">
      <c r="A36" s="15" t="n">
        <v>46204</v>
      </c>
      <c r="B36" t="inlineStr">
        <is>
          <t>2026-07</t>
        </is>
      </c>
      <c r="G36" s="38" t="n">
        <v>-272732.03</v>
      </c>
      <c r="H36" s="39" t="n">
        <v>-524271.07</v>
      </c>
      <c r="I36" s="39" t="n">
        <v>-18157.83</v>
      </c>
      <c r="J36" s="31" t="inlineStr">
        <is>
          <t>Forecast</t>
        </is>
      </c>
    </row>
    <row r="37">
      <c r="A37" s="15" t="n">
        <v>46235</v>
      </c>
      <c r="B37" t="inlineStr">
        <is>
          <t>2026-08</t>
        </is>
      </c>
      <c r="G37" s="38" t="n">
        <v>-243362.41</v>
      </c>
      <c r="H37" s="39" t="n">
        <v>-521019.71</v>
      </c>
      <c r="I37" s="39" t="n">
        <v>-27715.27</v>
      </c>
      <c r="J37" s="31" t="inlineStr">
        <is>
          <t>Forecast</t>
        </is>
      </c>
    </row>
    <row r="38">
      <c r="A38" s="15" t="n">
        <v>46266</v>
      </c>
      <c r="B38" t="inlineStr">
        <is>
          <t>2026-09</t>
        </is>
      </c>
      <c r="G38" s="38" t="n">
        <v>-435604.3</v>
      </c>
      <c r="H38" s="39" t="n">
        <v>-849314.54</v>
      </c>
      <c r="I38" s="39" t="n">
        <v>-49229.54</v>
      </c>
      <c r="J38" s="31" t="inlineStr">
        <is>
          <t>Forecast</t>
        </is>
      </c>
    </row>
    <row r="39">
      <c r="A39" s="15" t="n">
        <v>46296</v>
      </c>
      <c r="B39" t="inlineStr">
        <is>
          <t>2026-10</t>
        </is>
      </c>
      <c r="G39" s="38" t="n">
        <v>-381954.34</v>
      </c>
      <c r="H39" s="39" t="n">
        <v>-842837.1899999999</v>
      </c>
      <c r="I39" s="39" t="n">
        <v>-56956.55</v>
      </c>
      <c r="J39" s="31" t="inlineStr">
        <is>
          <t>Forecast</t>
        </is>
      </c>
    </row>
    <row r="40">
      <c r="A40" s="15" t="n">
        <v>46327</v>
      </c>
      <c r="B40" t="inlineStr">
        <is>
          <t>2026-11</t>
        </is>
      </c>
      <c r="G40" s="38" t="n">
        <v>-68391.81</v>
      </c>
      <c r="H40" s="39" t="n">
        <v>-431352.49</v>
      </c>
      <c r="I40" s="39" t="n">
        <v>169788.96</v>
      </c>
      <c r="J40" s="31" t="inlineStr">
        <is>
          <t>Forecast</t>
        </is>
      </c>
    </row>
    <row r="41">
      <c r="A41" s="15" t="n">
        <v>46357</v>
      </c>
      <c r="B41" t="inlineStr">
        <is>
          <t>2026-12</t>
        </is>
      </c>
      <c r="G41" s="38" t="n">
        <v>-258934</v>
      </c>
      <c r="H41" s="39" t="n">
        <v>-676782.3100000001</v>
      </c>
      <c r="I41" s="39" t="n">
        <v>-3448.96</v>
      </c>
      <c r="J41" s="31" t="inlineStr">
        <is>
          <t>Forecast</t>
        </is>
      </c>
    </row>
    <row r="44">
      <c r="A44" s="3" t="inlineStr">
        <is>
          <t>MODEL VALIDATION — 6-month hold-out backtest (3-MA)</t>
        </is>
      </c>
    </row>
    <row r="45">
      <c r="A45" s="21" t="inlineStr">
        <is>
          <t>MAE  (Mean Absolute Error)</t>
        </is>
      </c>
      <c r="B45" s="22" t="n">
        <v>58185.6263</v>
      </c>
      <c r="C45" s="23" t="inlineStr">
        <is>
          <t>Lower = better</t>
        </is>
      </c>
    </row>
    <row r="46">
      <c r="A46" s="21" t="inlineStr">
        <is>
          <t>RMSE (Root Mean Square Error)</t>
        </is>
      </c>
      <c r="B46" s="22" t="n">
        <v>77391.4577</v>
      </c>
      <c r="C46" s="23" t="inlineStr">
        <is>
          <t>Penalises large misses</t>
        </is>
      </c>
    </row>
    <row r="47">
      <c r="A47" s="21" t="inlineStr">
        <is>
          <t>MAPE (Mean Absolute % Error)</t>
        </is>
      </c>
      <c r="B47" s="24" t="n">
        <v>60.0926</v>
      </c>
      <c r="C47" s="23" t="inlineStr">
        <is>
          <t>&lt;10% good · &lt;5% excellent</t>
        </is>
      </c>
    </row>
  </sheetData>
  <mergeCells count="2">
    <mergeCell ref="A44:J44"/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20" customWidth="1" min="5" max="5"/>
    <col width="12" customWidth="1" min="6" max="6"/>
    <col width="20" customWidth="1" min="7" max="7"/>
    <col width="12" customWidth="1" min="8" max="8"/>
    <col width="12" customWidth="1" min="9" max="9"/>
  </cols>
  <sheetData>
    <row r="1">
      <c r="A1" s="12" t="inlineStr">
        <is>
          <t>China vs Rest-of-BRICS — Gold &amp; Oil Import Comparison</t>
        </is>
      </c>
    </row>
    <row r="3">
      <c r="A3" s="13" t="inlineStr">
        <is>
          <t>China accounts for ~62% of BRICS GDP. Aggregating hides whether de-dollarization is China-driven (policy) or broad-based (structural).</t>
        </is>
      </c>
    </row>
    <row r="5">
      <c r="A5" s="3" t="inlineStr">
        <is>
          <t>GOLD IMPORTS — China vs Rest-of-BRICS (BRA+RUS+IND+ZAF)</t>
        </is>
      </c>
    </row>
    <row r="6">
      <c r="A6" s="10" t="inlineStr">
        <is>
          <t>Date</t>
        </is>
      </c>
      <c r="B6" s="10" t="inlineStr">
        <is>
          <t>CHN Qty kg</t>
        </is>
      </c>
      <c r="C6" s="10" t="inlineStr">
        <is>
          <t>CHN YoY%</t>
        </is>
      </c>
      <c r="D6" s="14" t="inlineStr">
        <is>
          <t>CHN H-W Forecast</t>
        </is>
      </c>
      <c r="E6" s="10" t="inlineStr">
        <is>
          <t>Other-BRICS Qty kg</t>
        </is>
      </c>
      <c r="F6" s="10" t="inlineStr">
        <is>
          <t>Other-BRICS YoY%</t>
        </is>
      </c>
      <c r="G6" s="14" t="inlineStr">
        <is>
          <t>Other-BRICS H-W Forecast</t>
        </is>
      </c>
      <c r="H6" s="10" t="inlineStr">
        <is>
          <t>CHN Share %</t>
        </is>
      </c>
      <c r="I6" s="10" t="inlineStr">
        <is>
          <t>Type</t>
        </is>
      </c>
    </row>
    <row r="7">
      <c r="A7" s="15" t="n">
        <v>45231</v>
      </c>
      <c r="B7" s="22" t="n">
        <v>292603.072</v>
      </c>
      <c r="C7" s="28" t="n">
        <v>4.35</v>
      </c>
      <c r="E7" s="22" t="n">
        <v>117868.928</v>
      </c>
      <c r="F7" s="28" t="n">
        <v>-13.76</v>
      </c>
      <c r="H7" s="40" t="n">
        <v>71.3</v>
      </c>
      <c r="I7" t="inlineStr">
        <is>
          <t>Historical</t>
        </is>
      </c>
    </row>
    <row r="8">
      <c r="A8" s="15" t="n">
        <v>45261</v>
      </c>
      <c r="B8" s="22" t="n">
        <v>188250.406</v>
      </c>
      <c r="C8" s="28" t="n">
        <v>-40.3</v>
      </c>
      <c r="E8" s="22" t="n">
        <v>113663.607</v>
      </c>
      <c r="F8" s="28" t="n">
        <v>113.01</v>
      </c>
      <c r="H8" s="40" t="n">
        <v>62.4</v>
      </c>
      <c r="I8" t="inlineStr">
        <is>
          <t>Historical</t>
        </is>
      </c>
    </row>
    <row r="9">
      <c r="A9" s="15" t="n">
        <v>45292</v>
      </c>
      <c r="B9" s="22" t="n">
        <v>466829.727</v>
      </c>
      <c r="C9" s="28" t="n">
        <v>207.22</v>
      </c>
      <c r="E9" s="22" t="n">
        <v>76285.033</v>
      </c>
      <c r="F9" s="28" t="n">
        <v>183.51</v>
      </c>
      <c r="H9" s="40" t="n">
        <v>86</v>
      </c>
      <c r="I9" t="inlineStr">
        <is>
          <t>Historical</t>
        </is>
      </c>
    </row>
    <row r="10">
      <c r="A10" s="15" t="n">
        <v>45323</v>
      </c>
      <c r="B10" s="22" t="n">
        <v>277275.73</v>
      </c>
      <c r="C10" s="28" t="n">
        <v>-17.52</v>
      </c>
      <c r="E10" s="22" t="n">
        <v>211601.601</v>
      </c>
      <c r="F10" s="28" t="n">
        <v>114.36</v>
      </c>
      <c r="H10" s="40" t="n">
        <v>56.7</v>
      </c>
      <c r="I10" t="inlineStr">
        <is>
          <t>Historical</t>
        </is>
      </c>
    </row>
    <row r="11">
      <c r="A11" s="15" t="n">
        <v>45352</v>
      </c>
      <c r="B11" s="22" t="n">
        <v>386077.069</v>
      </c>
      <c r="C11" s="28" t="n">
        <v>8.67</v>
      </c>
      <c r="E11" s="22" t="n">
        <v>71896.141</v>
      </c>
      <c r="F11" s="28" t="n">
        <v>-43.48</v>
      </c>
      <c r="H11" s="40" t="n">
        <v>84.3</v>
      </c>
      <c r="I11" t="inlineStr">
        <is>
          <t>Historical</t>
        </is>
      </c>
    </row>
    <row r="12">
      <c r="A12" s="15" t="n">
        <v>45383</v>
      </c>
      <c r="B12" s="22" t="n">
        <v>267611.159</v>
      </c>
      <c r="C12" s="28" t="n">
        <v>7.78</v>
      </c>
      <c r="E12" s="22" t="n">
        <v>89669.16899999999</v>
      </c>
      <c r="F12" s="28" t="n">
        <v>144.97</v>
      </c>
      <c r="H12" s="40" t="n">
        <v>74.90000000000001</v>
      </c>
      <c r="I12" t="inlineStr">
        <is>
          <t>Historical</t>
        </is>
      </c>
    </row>
    <row r="13">
      <c r="A13" s="15" t="n">
        <v>45413</v>
      </c>
      <c r="B13" s="22" t="n">
        <v>277538.606</v>
      </c>
      <c r="C13" s="28" t="n">
        <v>-6.18</v>
      </c>
      <c r="E13" s="22" t="n">
        <v>97756.72899999999</v>
      </c>
      <c r="F13" s="28" t="n">
        <v>-24.17</v>
      </c>
      <c r="H13" s="40" t="n">
        <v>74</v>
      </c>
      <c r="I13" t="inlineStr">
        <is>
          <t>Historical</t>
        </is>
      </c>
    </row>
    <row r="14">
      <c r="A14" s="15" t="n">
        <v>45444</v>
      </c>
      <c r="B14" s="22" t="n">
        <v>117190.42</v>
      </c>
      <c r="C14" s="28" t="n">
        <v>-39.91</v>
      </c>
      <c r="E14" s="22" t="n">
        <v>92439.827</v>
      </c>
      <c r="F14" s="28" t="n">
        <v>-49.32</v>
      </c>
      <c r="H14" s="40" t="n">
        <v>55.9</v>
      </c>
      <c r="I14" t="inlineStr">
        <is>
          <t>Historical</t>
        </is>
      </c>
    </row>
    <row r="15">
      <c r="A15" s="15" t="n">
        <v>45474</v>
      </c>
      <c r="B15" s="22" t="n">
        <v>88935.86599999999</v>
      </c>
      <c r="C15" s="28" t="n">
        <v>-58.43</v>
      </c>
      <c r="E15" s="22" t="n">
        <v>95160.7</v>
      </c>
      <c r="F15" s="28" t="n">
        <v>-27.19</v>
      </c>
      <c r="H15" s="40" t="n">
        <v>48.3</v>
      </c>
      <c r="I15" t="inlineStr">
        <is>
          <t>Historical</t>
        </is>
      </c>
    </row>
    <row r="16">
      <c r="A16" s="15" t="n">
        <v>45505</v>
      </c>
      <c r="B16" s="22" t="n">
        <v>41943.479</v>
      </c>
      <c r="C16" s="28" t="n">
        <v>-82.92</v>
      </c>
      <c r="E16" s="22" t="n">
        <v>290313.895</v>
      </c>
      <c r="F16" s="28" t="n">
        <v>65.47</v>
      </c>
      <c r="H16" s="40" t="n">
        <v>12.6</v>
      </c>
      <c r="I16" t="inlineStr">
        <is>
          <t>Historical</t>
        </is>
      </c>
    </row>
    <row r="17">
      <c r="A17" s="15" t="n">
        <v>45536</v>
      </c>
      <c r="B17" s="22" t="n">
        <v>193328.023</v>
      </c>
      <c r="C17" s="28" t="n">
        <v>-22.13</v>
      </c>
      <c r="E17" s="22" t="n">
        <v>128310.677</v>
      </c>
      <c r="F17" s="28" t="n">
        <v>-11.18</v>
      </c>
      <c r="H17" s="40" t="n">
        <v>60.1</v>
      </c>
      <c r="I17" t="inlineStr">
        <is>
          <t>Historical</t>
        </is>
      </c>
    </row>
    <row r="18">
      <c r="A18" s="15" t="n">
        <v>45566</v>
      </c>
      <c r="B18" s="22" t="n">
        <v>192176.846</v>
      </c>
      <c r="C18" s="28" t="n">
        <v>1.82</v>
      </c>
      <c r="E18" s="22" t="n">
        <v>181893.859</v>
      </c>
      <c r="F18" s="28" t="n">
        <v>-26.78</v>
      </c>
      <c r="H18" s="40" t="n">
        <v>51.4</v>
      </c>
      <c r="I18" t="inlineStr">
        <is>
          <t>Historical</t>
        </is>
      </c>
    </row>
    <row r="19">
      <c r="A19" s="15" t="n">
        <v>45597</v>
      </c>
      <c r="B19" s="22" t="n">
        <v>244580.934</v>
      </c>
      <c r="C19" s="28" t="n">
        <v>-16.41</v>
      </c>
      <c r="E19" s="22" t="n">
        <v>244092.769</v>
      </c>
      <c r="F19" s="28" t="n">
        <v>107.09</v>
      </c>
      <c r="H19" s="40" t="n">
        <v>50</v>
      </c>
      <c r="I19" t="inlineStr">
        <is>
          <t>Historical</t>
        </is>
      </c>
    </row>
    <row r="20">
      <c r="A20" s="15" t="n">
        <v>45627</v>
      </c>
      <c r="B20" s="22" t="n">
        <v>208692.59</v>
      </c>
      <c r="C20" s="28" t="n">
        <v>10.86</v>
      </c>
      <c r="E20" s="22" t="n">
        <v>133534.514</v>
      </c>
      <c r="F20" s="28" t="n">
        <v>17.48</v>
      </c>
      <c r="H20" s="40" t="n">
        <v>61</v>
      </c>
      <c r="I20" t="inlineStr">
        <is>
          <t>Historical</t>
        </is>
      </c>
    </row>
    <row r="21">
      <c r="A21" s="15" t="n">
        <v>45658</v>
      </c>
      <c r="D21" s="38" t="n">
        <v>416930.78</v>
      </c>
      <c r="G21" s="38" t="n">
        <v>187114.49</v>
      </c>
      <c r="I21" s="31" t="inlineStr">
        <is>
          <t>Forecast</t>
        </is>
      </c>
    </row>
    <row r="22">
      <c r="A22" s="15" t="n">
        <v>45689</v>
      </c>
      <c r="D22" s="38" t="n">
        <v>238739.61</v>
      </c>
      <c r="G22" s="38" t="n">
        <v>71559.44</v>
      </c>
      <c r="I22" s="31" t="inlineStr">
        <is>
          <t>Forecast</t>
        </is>
      </c>
    </row>
    <row r="23">
      <c r="A23" s="15" t="n">
        <v>45717</v>
      </c>
      <c r="D23" s="38" t="n">
        <v>355885.41</v>
      </c>
      <c r="G23" s="38" t="n">
        <v>46448.44</v>
      </c>
      <c r="I23" s="31" t="inlineStr">
        <is>
          <t>Forecast</t>
        </is>
      </c>
    </row>
    <row r="24">
      <c r="A24" s="15" t="n">
        <v>45748</v>
      </c>
      <c r="D24" s="38" t="n">
        <v>237160.48</v>
      </c>
      <c r="G24" s="38" t="n">
        <v>43619.2</v>
      </c>
      <c r="I24" s="31" t="inlineStr">
        <is>
          <t>Forecast</t>
        </is>
      </c>
    </row>
    <row r="25">
      <c r="A25" s="15" t="n">
        <v>45778</v>
      </c>
      <c r="D25" s="38" t="n">
        <v>246546.08</v>
      </c>
      <c r="G25" s="38" t="n">
        <v>80731.25999999999</v>
      </c>
      <c r="I25" s="31" t="inlineStr">
        <is>
          <t>Forecast</t>
        </is>
      </c>
    </row>
    <row r="26">
      <c r="A26" s="15" t="n">
        <v>45809</v>
      </c>
      <c r="D26" s="38" t="n">
        <v>84951.88</v>
      </c>
      <c r="G26" s="38" t="n">
        <v>86120.5</v>
      </c>
      <c r="I26" s="31" t="inlineStr">
        <is>
          <t>Forecast</t>
        </is>
      </c>
    </row>
    <row r="27">
      <c r="A27" s="15" t="n">
        <v>45839</v>
      </c>
      <c r="D27" s="38" t="n">
        <v>148811.08</v>
      </c>
      <c r="G27" s="38" t="n">
        <v>39105.28</v>
      </c>
      <c r="I27" s="31" t="inlineStr">
        <is>
          <t>Forecast</t>
        </is>
      </c>
    </row>
    <row r="28">
      <c r="A28" s="15" t="n">
        <v>45870</v>
      </c>
      <c r="D28" s="38" t="n">
        <v>167402.73</v>
      </c>
      <c r="G28" s="38" t="n">
        <v>25765.08</v>
      </c>
      <c r="I28" s="31" t="inlineStr">
        <is>
          <t>Forecast</t>
        </is>
      </c>
    </row>
    <row r="29">
      <c r="A29" s="15" t="n">
        <v>45901</v>
      </c>
      <c r="D29" s="38" t="n">
        <v>168855.7</v>
      </c>
      <c r="G29" s="38" t="n">
        <v>24495.06</v>
      </c>
      <c r="I29" s="31" t="inlineStr">
        <is>
          <t>Forecast</t>
        </is>
      </c>
    </row>
    <row r="30">
      <c r="A30" s="15" t="n">
        <v>45931</v>
      </c>
      <c r="D30" s="38" t="n">
        <v>104832.29</v>
      </c>
      <c r="G30" s="38" t="n">
        <v>221531.64</v>
      </c>
      <c r="I30" s="31" t="inlineStr">
        <is>
          <t>Forecast</t>
        </is>
      </c>
    </row>
    <row r="31">
      <c r="A31" s="15" t="n">
        <v>45962</v>
      </c>
      <c r="D31" s="38" t="n">
        <v>206238.86</v>
      </c>
      <c r="G31" s="38" t="n">
        <v>60925.8</v>
      </c>
      <c r="I31" s="31" t="inlineStr">
        <is>
          <t>Forecast</t>
        </is>
      </c>
    </row>
    <row r="32">
      <c r="A32" s="15" t="n">
        <v>45992</v>
      </c>
      <c r="D32" s="38" t="n">
        <v>103497.64</v>
      </c>
      <c r="G32" s="38" t="n">
        <v>109142.26</v>
      </c>
      <c r="I32" s="31" t="inlineStr">
        <is>
          <t>Forecast</t>
        </is>
      </c>
    </row>
    <row r="35">
      <c r="A35" s="3" t="inlineStr">
        <is>
          <t>OIL IMPORTS — China vs Rest-of-BRICS</t>
        </is>
      </c>
    </row>
    <row r="36">
      <c r="A36" s="10" t="inlineStr">
        <is>
          <t>Date</t>
        </is>
      </c>
      <c r="B36" s="10" t="inlineStr">
        <is>
          <t>CHN Qty kg</t>
        </is>
      </c>
      <c r="C36" s="10" t="inlineStr">
        <is>
          <t>CHN YoY%</t>
        </is>
      </c>
      <c r="D36" s="14" t="inlineStr">
        <is>
          <t>CHN H-W Forecast</t>
        </is>
      </c>
      <c r="E36" s="10" t="inlineStr">
        <is>
          <t>Other-BRICS Qty kg</t>
        </is>
      </c>
      <c r="F36" s="10" t="inlineStr">
        <is>
          <t>Other-BRICS YoY%</t>
        </is>
      </c>
      <c r="G36" s="14" t="inlineStr">
        <is>
          <t>Other-BRICS H-W Forecast</t>
        </is>
      </c>
      <c r="H36" s="10" t="inlineStr">
        <is>
          <t>CHN Share %</t>
        </is>
      </c>
      <c r="I36" s="10" t="inlineStr">
        <is>
          <t>Type</t>
        </is>
      </c>
    </row>
    <row r="37">
      <c r="A37" s="15" t="n">
        <v>45261</v>
      </c>
      <c r="B37" s="22" t="n">
        <v>48364318445</v>
      </c>
      <c r="C37" s="28" t="n">
        <v>20.21</v>
      </c>
      <c r="E37" s="22" t="n">
        <v>20643986450</v>
      </c>
      <c r="F37" s="28" t="n">
        <v>-20.66</v>
      </c>
      <c r="H37" s="40" t="n">
        <v>70.09999999999999</v>
      </c>
      <c r="I37" t="inlineStr">
        <is>
          <t>Historical</t>
        </is>
      </c>
    </row>
    <row r="38">
      <c r="A38" s="15" t="n">
        <v>45292</v>
      </c>
      <c r="B38" s="22" t="n">
        <v>44166287300</v>
      </c>
      <c r="C38" s="28" t="n">
        <v>2.43</v>
      </c>
      <c r="E38" s="22" t="n">
        <v>20965570000</v>
      </c>
      <c r="F38" s="28" t="n">
        <v>-1</v>
      </c>
      <c r="H38" s="40" t="n">
        <v>67.8</v>
      </c>
      <c r="I38" t="inlineStr">
        <is>
          <t>Historical</t>
        </is>
      </c>
    </row>
    <row r="39">
      <c r="A39" s="15" t="n">
        <v>45323</v>
      </c>
      <c r="B39" s="22" t="n">
        <v>44137620000</v>
      </c>
      <c r="C39" s="28" t="n">
        <v>-5.47</v>
      </c>
      <c r="E39" s="22" t="n">
        <v>23265342418</v>
      </c>
      <c r="F39" s="28" t="n">
        <v>-4.97</v>
      </c>
      <c r="H39" s="40" t="n">
        <v>65.5</v>
      </c>
      <c r="I39" t="inlineStr">
        <is>
          <t>Historical</t>
        </is>
      </c>
    </row>
    <row r="40">
      <c r="A40" s="15" t="n">
        <v>45352</v>
      </c>
      <c r="B40" s="22" t="n">
        <v>49038180000</v>
      </c>
      <c r="C40" s="28" t="n">
        <v>2.03</v>
      </c>
      <c r="E40" s="22" t="n">
        <v>22941531600</v>
      </c>
      <c r="F40" s="28" t="n">
        <v>-8.98</v>
      </c>
      <c r="H40" s="40" t="n">
        <v>68.09999999999999</v>
      </c>
      <c r="I40" t="inlineStr">
        <is>
          <t>Historical</t>
        </is>
      </c>
    </row>
    <row r="41">
      <c r="A41" s="15" t="n">
        <v>45383</v>
      </c>
      <c r="B41" s="22" t="n">
        <v>44712426000</v>
      </c>
      <c r="C41" s="28" t="n">
        <v>3.23</v>
      </c>
      <c r="E41" s="22" t="n">
        <v>23218719808</v>
      </c>
      <c r="F41" s="28" t="n">
        <v>16.06</v>
      </c>
      <c r="H41" s="40" t="n">
        <v>65.8</v>
      </c>
      <c r="I41" t="inlineStr">
        <is>
          <t>Historical</t>
        </is>
      </c>
    </row>
    <row r="42">
      <c r="A42" s="15" t="n">
        <v>45413</v>
      </c>
      <c r="B42" s="22" t="n">
        <v>46959861102</v>
      </c>
      <c r="C42" s="28" t="n">
        <v>15.29</v>
      </c>
      <c r="E42" s="22" t="n">
        <v>26047856011</v>
      </c>
      <c r="F42" s="28" t="n">
        <v>15.35</v>
      </c>
      <c r="H42" s="40" t="n">
        <v>64.3</v>
      </c>
      <c r="I42" t="inlineStr">
        <is>
          <t>Historical</t>
        </is>
      </c>
    </row>
    <row r="43">
      <c r="A43" s="15" t="n">
        <v>45444</v>
      </c>
      <c r="B43" s="22" t="n">
        <v>46448317659</v>
      </c>
      <c r="C43" s="28" t="n">
        <v>-11.19</v>
      </c>
      <c r="E43" s="22" t="n">
        <v>20252225300</v>
      </c>
      <c r="F43" s="28" t="n">
        <v>-0.9399999999999999</v>
      </c>
      <c r="H43" s="40" t="n">
        <v>69.59999999999999</v>
      </c>
      <c r="I43" t="inlineStr">
        <is>
          <t>Historical</t>
        </is>
      </c>
    </row>
    <row r="44">
      <c r="A44" s="15" t="n">
        <v>45474</v>
      </c>
      <c r="B44" s="22" t="n">
        <v>42327617720</v>
      </c>
      <c r="C44" s="28" t="n">
        <v>0.27</v>
      </c>
      <c r="E44" s="22" t="n">
        <v>18070313795</v>
      </c>
      <c r="F44" s="28" t="n">
        <v>730.49</v>
      </c>
      <c r="H44" s="40" t="n">
        <v>70.09999999999999</v>
      </c>
      <c r="I44" t="inlineStr">
        <is>
          <t>Historical</t>
        </is>
      </c>
    </row>
    <row r="45">
      <c r="A45" s="15" t="n">
        <v>45505</v>
      </c>
      <c r="B45" s="22" t="n">
        <v>49089296200</v>
      </c>
      <c r="C45" s="28" t="n">
        <v>-4.57</v>
      </c>
      <c r="E45" s="22" t="n">
        <v>13402926546</v>
      </c>
      <c r="F45" s="28" t="n">
        <v>4882.13</v>
      </c>
      <c r="H45" s="40" t="n">
        <v>78.59999999999999</v>
      </c>
      <c r="I45" t="inlineStr">
        <is>
          <t>Historical</t>
        </is>
      </c>
    </row>
    <row r="46">
      <c r="A46" s="15" t="n">
        <v>45536</v>
      </c>
      <c r="B46" s="22" t="n">
        <v>45479185700</v>
      </c>
      <c r="C46" s="28" t="n">
        <v>-12.62</v>
      </c>
      <c r="E46" s="22" t="n">
        <v>17147197843.934</v>
      </c>
      <c r="F46" s="28" t="n">
        <v>-0.55</v>
      </c>
      <c r="H46" s="40" t="n">
        <v>72.59999999999999</v>
      </c>
      <c r="I46" t="inlineStr">
        <is>
          <t>Historical</t>
        </is>
      </c>
    </row>
    <row r="47">
      <c r="A47" s="15" t="n">
        <v>45566</v>
      </c>
      <c r="B47" s="22" t="n">
        <v>44686291900</v>
      </c>
      <c r="C47" s="28" t="n">
        <v>2.31</v>
      </c>
      <c r="E47" s="22" t="n">
        <v>27197098704.705</v>
      </c>
      <c r="F47" s="28" t="n">
        <v>35.77</v>
      </c>
      <c r="H47" s="40" t="n">
        <v>62.2</v>
      </c>
      <c r="I47" t="inlineStr">
        <is>
          <t>Historical</t>
        </is>
      </c>
    </row>
    <row r="48">
      <c r="A48" s="15" t="n">
        <v>45597</v>
      </c>
      <c r="B48" s="22" t="n">
        <v>48504284800</v>
      </c>
      <c r="C48" s="28" t="n">
        <v>-0.92</v>
      </c>
      <c r="E48" s="22" t="n">
        <v>23985170992.664</v>
      </c>
      <c r="F48" s="28" t="n">
        <v>19.21</v>
      </c>
      <c r="H48" s="40" t="n">
        <v>66.90000000000001</v>
      </c>
      <c r="I48" t="inlineStr">
        <is>
          <t>Historical</t>
        </is>
      </c>
    </row>
    <row r="49">
      <c r="A49" s="15" t="n">
        <v>45627</v>
      </c>
      <c r="B49" s="22" t="n">
        <v>47682532855</v>
      </c>
      <c r="C49" s="28" t="n">
        <v>-1.41</v>
      </c>
      <c r="E49" s="22" t="n">
        <v>20487469557.547</v>
      </c>
      <c r="F49" s="28" t="n">
        <v>-0.76</v>
      </c>
      <c r="H49" s="40" t="n">
        <v>69.90000000000001</v>
      </c>
      <c r="I49" t="inlineStr">
        <is>
          <t>Historical</t>
        </is>
      </c>
    </row>
    <row r="50">
      <c r="A50" s="15" t="n">
        <v>45658</v>
      </c>
      <c r="D50" s="38" t="n">
        <v>42965198015.57</v>
      </c>
      <c r="G50" s="38" t="n">
        <v>16553638593.88</v>
      </c>
      <c r="I50" s="31" t="inlineStr">
        <is>
          <t>Forecast</t>
        </is>
      </c>
    </row>
    <row r="51">
      <c r="A51" s="15" t="n">
        <v>45689</v>
      </c>
      <c r="D51" s="38" t="n">
        <v>43009884625.73</v>
      </c>
      <c r="G51" s="38" t="n">
        <v>13007015644.97</v>
      </c>
      <c r="I51" s="31" t="inlineStr">
        <is>
          <t>Forecast</t>
        </is>
      </c>
    </row>
    <row r="52">
      <c r="A52" s="15" t="n">
        <v>45717</v>
      </c>
      <c r="D52" s="38" t="n">
        <v>48209194747.5</v>
      </c>
      <c r="G52" s="38" t="n">
        <v>13306894987.6</v>
      </c>
      <c r="I52" s="31" t="inlineStr">
        <is>
          <t>Forecast</t>
        </is>
      </c>
    </row>
    <row r="53">
      <c r="A53" s="15" t="n">
        <v>45748</v>
      </c>
      <c r="D53" s="38" t="n">
        <v>44065686376.92</v>
      </c>
      <c r="G53" s="38" t="n">
        <v>10832315333.73</v>
      </c>
      <c r="I53" s="31" t="inlineStr">
        <is>
          <t>Forecast</t>
        </is>
      </c>
    </row>
    <row r="54">
      <c r="A54" s="15" t="n">
        <v>45778</v>
      </c>
      <c r="D54" s="38" t="n">
        <v>46213685838.99</v>
      </c>
      <c r="G54" s="38" t="n">
        <v>23278067750.93</v>
      </c>
      <c r="I54" s="31" t="inlineStr">
        <is>
          <t>Forecast</t>
        </is>
      </c>
    </row>
    <row r="55">
      <c r="A55" s="15" t="n">
        <v>45809</v>
      </c>
      <c r="D55" s="38" t="n">
        <v>45788870019.01</v>
      </c>
      <c r="G55" s="38" t="n">
        <v>26104839889.24</v>
      </c>
      <c r="I55" s="31" t="inlineStr">
        <is>
          <t>Forecast</t>
        </is>
      </c>
    </row>
    <row r="56">
      <c r="A56" s="15" t="n">
        <v>45839</v>
      </c>
      <c r="D56" s="38" t="n">
        <v>40823522289.84</v>
      </c>
      <c r="G56" s="38" t="n">
        <v>18949347484.94</v>
      </c>
      <c r="I56" s="31" t="inlineStr">
        <is>
          <t>Forecast</t>
        </is>
      </c>
    </row>
    <row r="57">
      <c r="A57" s="15" t="n">
        <v>45870</v>
      </c>
      <c r="D57" s="38" t="n">
        <v>50051114694.6</v>
      </c>
      <c r="G57" s="38" t="n">
        <v>12959409315.61</v>
      </c>
      <c r="I57" s="31" t="inlineStr">
        <is>
          <t>Forecast</t>
        </is>
      </c>
    </row>
    <row r="58">
      <c r="A58" s="15" t="n">
        <v>45901</v>
      </c>
      <c r="D58" s="38" t="n">
        <v>50652246912.44</v>
      </c>
      <c r="G58" s="38" t="n">
        <v>10774759232.01</v>
      </c>
      <c r="I58" s="31" t="inlineStr">
        <is>
          <t>Forecast</t>
        </is>
      </c>
    </row>
    <row r="59">
      <c r="A59" s="15" t="n">
        <v>45931</v>
      </c>
      <c r="D59" s="38" t="n">
        <v>42194124619.48</v>
      </c>
      <c r="G59" s="38" t="n">
        <v>6374183279.97</v>
      </c>
      <c r="I59" s="31" t="inlineStr">
        <is>
          <t>Forecast</t>
        </is>
      </c>
    </row>
    <row r="60">
      <c r="A60" s="15" t="n">
        <v>45962</v>
      </c>
      <c r="D60" s="38" t="n">
        <v>47107494108.81</v>
      </c>
      <c r="G60" s="38" t="n">
        <v>10110570752.36</v>
      </c>
      <c r="I60" s="31" t="inlineStr">
        <is>
          <t>Forecast</t>
        </is>
      </c>
    </row>
    <row r="61">
      <c r="A61" s="15" t="n">
        <v>45992</v>
      </c>
      <c r="D61" s="38" t="n">
        <v>46449560504.99</v>
      </c>
      <c r="G61" s="38" t="n">
        <v>19562043201.9</v>
      </c>
      <c r="I61" s="31" t="inlineStr">
        <is>
          <t>Forecast</t>
        </is>
      </c>
    </row>
  </sheetData>
  <mergeCells count="4">
    <mergeCell ref="A3:L3"/>
    <mergeCell ref="A35:L35"/>
    <mergeCell ref="A1:L1"/>
    <mergeCell ref="A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8" customWidth="1" min="9" max="9"/>
    <col width="16" customWidth="1" min="10" max="10"/>
    <col width="16" customWidth="1" min="11" max="11"/>
    <col width="20" customWidth="1" min="12" max="12"/>
    <col width="12" customWidth="1" min="13" max="13"/>
  </cols>
  <sheetData>
    <row r="1">
      <c r="A1" s="12" t="inlineStr">
        <is>
          <t>BRICS Gold Imports — 3-MA · 6-MA · H-W 12-Month · Spot-Price Deflated</t>
        </is>
      </c>
    </row>
    <row r="5">
      <c r="A5" s="10" t="inlineStr">
        <is>
          <t>Date</t>
        </is>
      </c>
      <c r="B5" s="10" t="inlineStr">
        <is>
          <t>Year-Month</t>
        </is>
      </c>
      <c r="C5" s="10" t="inlineStr">
        <is>
          <t>Qty (kg)</t>
        </is>
      </c>
      <c r="D5" s="10" t="inlineStr">
        <is>
          <t>Value (USD)</t>
        </is>
      </c>
      <c r="E5" s="34" t="inlineStr">
        <is>
          <t>YoY Qty%</t>
        </is>
      </c>
      <c r="F5" s="34" t="inlineStr">
        <is>
          <t>YoY Value%</t>
        </is>
      </c>
      <c r="G5" s="34" t="inlineStr">
        <is>
          <t>3-MA Qty</t>
        </is>
      </c>
      <c r="H5" s="34" t="inlineStr">
        <is>
          <t>6-MA Qty</t>
        </is>
      </c>
      <c r="I5" s="14" t="inlineStr">
        <is>
          <t>H-W Qty Forecast</t>
        </is>
      </c>
      <c r="J5" s="14" t="inlineStr">
        <is>
          <t>H-W Lower 90%</t>
        </is>
      </c>
      <c r="K5" s="14" t="inlineStr">
        <is>
          <t>H-W Upper 90%</t>
        </is>
      </c>
      <c r="L5" s="41" t="inlineStr">
        <is>
          <t>Real Qty (spot-adj)</t>
        </is>
      </c>
      <c r="M5" s="10" t="inlineStr">
        <is>
          <t>Type</t>
        </is>
      </c>
    </row>
    <row r="6">
      <c r="A6" s="15" t="n">
        <v>45231</v>
      </c>
      <c r="B6" t="inlineStr">
        <is>
          <t>2023-11</t>
        </is>
      </c>
      <c r="C6" s="22" t="n">
        <v>410472</v>
      </c>
      <c r="D6" s="42" t="n">
        <v>25697969775.874</v>
      </c>
      <c r="E6" s="36" t="n">
        <v>-1.58</v>
      </c>
      <c r="F6" s="35" t="n">
        <v>16.12</v>
      </c>
      <c r="L6" s="43" t="n">
        <v>12608787.64</v>
      </c>
      <c r="M6" t="inlineStr">
        <is>
          <t>Historical</t>
        </is>
      </c>
    </row>
    <row r="7">
      <c r="A7" s="15" t="n">
        <v>45261</v>
      </c>
      <c r="B7" t="inlineStr">
        <is>
          <t>2023-12</t>
        </is>
      </c>
      <c r="C7" s="22" t="n">
        <v>301914.013</v>
      </c>
      <c r="D7" s="42" t="n">
        <v>18518197146.993</v>
      </c>
      <c r="E7" s="36" t="n">
        <v>-18.12</v>
      </c>
      <c r="F7" s="36" t="n">
        <v>-10.55</v>
      </c>
      <c r="L7" s="43" t="n">
        <v>8978955.6</v>
      </c>
      <c r="M7" t="inlineStr">
        <is>
          <t>Historical</t>
        </is>
      </c>
    </row>
    <row r="8">
      <c r="A8" s="15" t="n">
        <v>45292</v>
      </c>
      <c r="B8" t="inlineStr">
        <is>
          <t>2024-01</t>
        </is>
      </c>
      <c r="C8" s="22" t="n">
        <v>543114.76</v>
      </c>
      <c r="D8" s="42" t="n">
        <v>34652454687.332</v>
      </c>
      <c r="E8" s="35" t="n">
        <v>203.66</v>
      </c>
      <c r="F8" s="35" t="n">
        <v>222.88</v>
      </c>
      <c r="G8" s="37">
        <f>AVERAGE(C6:C8)</f>
        <v/>
      </c>
      <c r="L8" s="43" t="n">
        <v>16916840.63</v>
      </c>
      <c r="M8" t="inlineStr">
        <is>
          <t>Historical</t>
        </is>
      </c>
    </row>
    <row r="9">
      <c r="A9" s="15" t="n">
        <v>45323</v>
      </c>
      <c r="B9" t="inlineStr">
        <is>
          <t>2024-02</t>
        </is>
      </c>
      <c r="C9" s="22" t="n">
        <v>488877.331</v>
      </c>
      <c r="D9" s="42" t="n">
        <v>30559647228.355</v>
      </c>
      <c r="E9" s="35" t="n">
        <v>12.41</v>
      </c>
      <c r="F9" s="35" t="n">
        <v>18.88</v>
      </c>
      <c r="G9" s="37">
        <f>AVERAGE(C7:C9)</f>
        <v/>
      </c>
      <c r="L9" s="43" t="n">
        <v>14938479.72</v>
      </c>
      <c r="M9" t="inlineStr">
        <is>
          <t>Historical</t>
        </is>
      </c>
    </row>
    <row r="10">
      <c r="A10" s="15" t="n">
        <v>45352</v>
      </c>
      <c r="B10" t="inlineStr">
        <is>
          <t>2024-03</t>
        </is>
      </c>
      <c r="C10" s="22" t="n">
        <v>457973.21</v>
      </c>
      <c r="D10" s="42" t="n">
        <v>29463579221.424</v>
      </c>
      <c r="E10" s="36" t="n">
        <v>-5.08</v>
      </c>
      <c r="F10" s="35" t="n">
        <v>4.86</v>
      </c>
      <c r="G10" s="37">
        <f>AVERAGE(C8:C10)</f>
        <v/>
      </c>
      <c r="L10" s="43" t="n">
        <v>13287444.99</v>
      </c>
      <c r="M10" t="inlineStr">
        <is>
          <t>Historical</t>
        </is>
      </c>
    </row>
    <row r="11">
      <c r="A11" s="15" t="n">
        <v>45383</v>
      </c>
      <c r="B11" t="inlineStr">
        <is>
          <t>2024-04</t>
        </is>
      </c>
      <c r="C11" s="22" t="n">
        <v>357280.328</v>
      </c>
      <c r="D11" s="42" t="n">
        <v>26289218681.889</v>
      </c>
      <c r="E11" s="35" t="n">
        <v>25.41</v>
      </c>
      <c r="F11" s="35" t="n">
        <v>46.19</v>
      </c>
      <c r="G11" s="37">
        <f>AVERAGE(C9:C11)</f>
        <v/>
      </c>
      <c r="H11" s="37">
        <f>AVERAGE(C6:C11)</f>
        <v/>
      </c>
      <c r="L11" s="43" t="n">
        <v>11472994.59</v>
      </c>
      <c r="M11" t="inlineStr">
        <is>
          <t>Historical</t>
        </is>
      </c>
    </row>
    <row r="12">
      <c r="A12" s="15" t="n">
        <v>45413</v>
      </c>
      <c r="B12" t="inlineStr">
        <is>
          <t>2024-05</t>
        </is>
      </c>
      <c r="C12" s="22" t="n">
        <v>375295.335</v>
      </c>
      <c r="D12" s="42" t="n">
        <v>27847131457.731</v>
      </c>
      <c r="E12" s="36" t="n">
        <v>-11.64</v>
      </c>
      <c r="F12" s="35" t="n">
        <v>5.31</v>
      </c>
      <c r="G12" s="37">
        <f>AVERAGE(C10:C12)</f>
        <v/>
      </c>
      <c r="H12" s="37">
        <f>AVERAGE(C7:C12)</f>
        <v/>
      </c>
      <c r="L12" s="43" t="n">
        <v>11988089.3</v>
      </c>
      <c r="M12" t="inlineStr">
        <is>
          <t>Historical</t>
        </is>
      </c>
    </row>
    <row r="13">
      <c r="A13" s="15" t="n">
        <v>45444</v>
      </c>
      <c r="B13" t="inlineStr">
        <is>
          <t>2024-06</t>
        </is>
      </c>
      <c r="C13" s="22" t="n">
        <v>209630.247</v>
      </c>
      <c r="D13" s="42" t="n">
        <v>15190287685.865</v>
      </c>
      <c r="E13" s="36" t="n">
        <v>-44.46</v>
      </c>
      <c r="F13" s="36" t="n">
        <v>-31.97</v>
      </c>
      <c r="G13" s="37">
        <f>AVERAGE(C11:C13)</f>
        <v/>
      </c>
      <c r="H13" s="37">
        <f>AVERAGE(C8:C13)</f>
        <v/>
      </c>
      <c r="L13" s="43" t="n">
        <v>6525878.77</v>
      </c>
      <c r="M13" t="inlineStr">
        <is>
          <t>Historical</t>
        </is>
      </c>
    </row>
    <row r="14">
      <c r="A14" s="15" t="n">
        <v>45474</v>
      </c>
      <c r="B14" t="inlineStr">
        <is>
          <t>2024-07</t>
        </is>
      </c>
      <c r="C14" s="22" t="n">
        <v>184096.566</v>
      </c>
      <c r="D14" s="42" t="n">
        <v>13368872115</v>
      </c>
      <c r="E14" s="36" t="n">
        <v>-46.58</v>
      </c>
      <c r="F14" s="36" t="n">
        <v>-34.59</v>
      </c>
      <c r="G14" s="37">
        <f>AVERAGE(C12:C14)</f>
        <v/>
      </c>
      <c r="H14" s="37">
        <f>AVERAGE(C9:C14)</f>
        <v/>
      </c>
      <c r="L14" s="43" t="n">
        <v>5509529</v>
      </c>
      <c r="M14" t="inlineStr">
        <is>
          <t>Historical</t>
        </is>
      </c>
    </row>
    <row r="15">
      <c r="A15" s="15" t="n">
        <v>45505</v>
      </c>
      <c r="B15" t="inlineStr">
        <is>
          <t>2024-08</t>
        </is>
      </c>
      <c r="C15" s="22" t="n">
        <v>332257.374</v>
      </c>
      <c r="D15" s="42" t="n">
        <v>23894666844.126</v>
      </c>
      <c r="E15" s="36" t="n">
        <v>-21.09</v>
      </c>
      <c r="F15" s="36" t="n">
        <v>-5.23</v>
      </c>
      <c r="G15" s="37">
        <f>AVERAGE(C13:C15)</f>
        <v/>
      </c>
      <c r="H15" s="37">
        <f>AVERAGE(C10:C15)</f>
        <v/>
      </c>
      <c r="L15" s="43" t="n">
        <v>9581628.99</v>
      </c>
      <c r="M15" t="inlineStr">
        <is>
          <t>Historical</t>
        </is>
      </c>
    </row>
    <row r="16">
      <c r="A16" s="15" t="n">
        <v>45536</v>
      </c>
      <c r="B16" t="inlineStr">
        <is>
          <t>2024-09</t>
        </is>
      </c>
      <c r="C16" s="22" t="n">
        <v>321638.7</v>
      </c>
      <c r="D16" s="42" t="n">
        <v>24858782295.789</v>
      </c>
      <c r="E16" s="36" t="n">
        <v>-18.11</v>
      </c>
      <c r="F16" s="35" t="n">
        <v>4.89</v>
      </c>
      <c r="G16" s="37">
        <f>AVERAGE(C14:C16)</f>
        <v/>
      </c>
      <c r="H16" s="37">
        <f>AVERAGE(C11:C16)</f>
        <v/>
      </c>
      <c r="M16" t="inlineStr">
        <is>
          <t>Historical</t>
        </is>
      </c>
    </row>
    <row r="17">
      <c r="A17" s="15" t="n">
        <v>45566</v>
      </c>
      <c r="B17" t="inlineStr">
        <is>
          <t>2024-10</t>
        </is>
      </c>
      <c r="C17" s="22" t="n">
        <v>374070.705</v>
      </c>
      <c r="D17" s="42" t="n">
        <v>30998281650.397</v>
      </c>
      <c r="E17" s="36" t="n">
        <v>-14.43</v>
      </c>
      <c r="F17" s="35" t="n">
        <v>18.69</v>
      </c>
      <c r="G17" s="37">
        <f>AVERAGE(C15:C17)</f>
        <v/>
      </c>
      <c r="H17" s="37">
        <f>AVERAGE(C12:C17)</f>
        <v/>
      </c>
      <c r="L17" s="43" t="n">
        <v>11320264.8</v>
      </c>
      <c r="M17" t="inlineStr">
        <is>
          <t>Historical</t>
        </is>
      </c>
    </row>
    <row r="18">
      <c r="A18" s="15" t="n">
        <v>45597</v>
      </c>
      <c r="B18" t="inlineStr">
        <is>
          <t>2024-11</t>
        </is>
      </c>
      <c r="C18" s="22" t="n">
        <v>488673.703</v>
      </c>
      <c r="D18" s="42" t="n">
        <v>41063885003.077</v>
      </c>
      <c r="E18" s="35" t="n">
        <v>19.05</v>
      </c>
      <c r="F18" s="35" t="n">
        <v>59.79</v>
      </c>
      <c r="G18" s="37">
        <f>AVERAGE(C16:C18)</f>
        <v/>
      </c>
      <c r="H18" s="37">
        <f>AVERAGE(C13:C18)</f>
        <v/>
      </c>
      <c r="L18" s="43" t="n">
        <v>15454981.18</v>
      </c>
      <c r="M18" t="inlineStr">
        <is>
          <t>Historical</t>
        </is>
      </c>
    </row>
    <row r="19">
      <c r="A19" s="15" t="n">
        <v>45627</v>
      </c>
      <c r="B19" t="inlineStr">
        <is>
          <t>2024-12</t>
        </is>
      </c>
      <c r="C19" s="22" t="n">
        <v>342227.104</v>
      </c>
      <c r="D19" s="42" t="n">
        <v>27507452761.46</v>
      </c>
      <c r="E19" s="35" t="n">
        <v>13.35</v>
      </c>
      <c r="F19" s="35" t="n">
        <v>48.54</v>
      </c>
      <c r="G19" s="37">
        <f>AVERAGE(C17:C19)</f>
        <v/>
      </c>
      <c r="H19" s="37">
        <f>AVERAGE(C14:C19)</f>
        <v/>
      </c>
      <c r="M19" t="inlineStr">
        <is>
          <t>Historical</t>
        </is>
      </c>
    </row>
    <row r="20">
      <c r="A20" s="15" t="n">
        <v>45658</v>
      </c>
      <c r="B20" t="inlineStr">
        <is>
          <t>2025-01</t>
        </is>
      </c>
      <c r="C20" s="22" t="n">
        <v>105878.394</v>
      </c>
      <c r="D20" s="42" t="n">
        <v>6065804060.324</v>
      </c>
      <c r="E20" s="36" t="n">
        <v>-80.51000000000001</v>
      </c>
      <c r="F20" s="36" t="n">
        <v>-82.5</v>
      </c>
      <c r="G20" s="37">
        <f>AVERAGE(C18:C20)</f>
        <v/>
      </c>
      <c r="H20" s="37">
        <f>AVERAGE(C15:C20)</f>
        <v/>
      </c>
      <c r="L20" s="43" t="n">
        <v>2156730.33</v>
      </c>
      <c r="M20" t="inlineStr">
        <is>
          <t>Historical</t>
        </is>
      </c>
    </row>
    <row r="21">
      <c r="A21" s="15" t="n">
        <v>45689</v>
      </c>
      <c r="B21" t="inlineStr">
        <is>
          <t>2025-02</t>
        </is>
      </c>
      <c r="C21" s="22" t="n">
        <v>89053.696</v>
      </c>
      <c r="D21" s="42" t="n">
        <v>5300596825.63</v>
      </c>
      <c r="E21" s="36" t="n">
        <v>-81.78</v>
      </c>
      <c r="F21" s="36" t="n">
        <v>-82.65000000000001</v>
      </c>
      <c r="G21" s="37">
        <f>AVERAGE(C19:C21)</f>
        <v/>
      </c>
      <c r="H21" s="37">
        <f>AVERAGE(C16:C21)</f>
        <v/>
      </c>
      <c r="L21" s="43" t="n">
        <v>1868512.67</v>
      </c>
      <c r="M21" t="inlineStr">
        <is>
          <t>Historical</t>
        </is>
      </c>
    </row>
    <row r="22">
      <c r="A22" s="15" t="n">
        <v>45717</v>
      </c>
      <c r="B22" t="inlineStr">
        <is>
          <t>2025-03</t>
        </is>
      </c>
      <c r="C22" s="22" t="n">
        <v>119478.051</v>
      </c>
      <c r="D22" s="42" t="n">
        <v>9470103539.492001</v>
      </c>
      <c r="E22" s="36" t="n">
        <v>-73.91</v>
      </c>
      <c r="F22" s="36" t="n">
        <v>-67.86</v>
      </c>
      <c r="G22" s="37">
        <f>AVERAGE(C20:C22)</f>
        <v/>
      </c>
      <c r="H22" s="37">
        <f>AVERAGE(C17:C22)</f>
        <v/>
      </c>
      <c r="L22" s="43" t="n">
        <v>3032568.01</v>
      </c>
      <c r="M22" t="inlineStr">
        <is>
          <t>Historical</t>
        </is>
      </c>
    </row>
    <row r="23">
      <c r="A23" s="15" t="n">
        <v>45748</v>
      </c>
      <c r="B23" t="inlineStr">
        <is>
          <t>2025-04</t>
        </is>
      </c>
      <c r="C23" s="22" t="n">
        <v>122640.917</v>
      </c>
      <c r="D23" s="42" t="n">
        <v>7387366864.449</v>
      </c>
      <c r="E23" s="36" t="n">
        <v>-65.67</v>
      </c>
      <c r="F23" s="36" t="n">
        <v>-71.90000000000001</v>
      </c>
      <c r="G23" s="37">
        <f>AVERAGE(C21:C23)</f>
        <v/>
      </c>
      <c r="H23" s="37">
        <f>AVERAGE(C18:C23)</f>
        <v/>
      </c>
      <c r="L23" s="43" t="n">
        <v>2235209.34</v>
      </c>
      <c r="M23" t="inlineStr">
        <is>
          <t>Historical</t>
        </is>
      </c>
    </row>
    <row r="24">
      <c r="A24" s="15" t="n">
        <v>45778</v>
      </c>
      <c r="B24" t="inlineStr">
        <is>
          <t>2025-05</t>
        </is>
      </c>
      <c r="C24" s="22" t="n">
        <v>187025.254</v>
      </c>
      <c r="D24" s="42" t="n">
        <v>7721096051.583</v>
      </c>
      <c r="E24" s="36" t="n">
        <v>-50.17</v>
      </c>
      <c r="F24" s="36" t="n">
        <v>-72.27</v>
      </c>
      <c r="G24" s="37">
        <f>AVERAGE(C22:C24)</f>
        <v/>
      </c>
      <c r="H24" s="37">
        <f>AVERAGE(C19:C24)</f>
        <v/>
      </c>
      <c r="L24" s="43" t="n">
        <v>2347622.69</v>
      </c>
      <c r="M24" t="inlineStr">
        <is>
          <t>Historical</t>
        </is>
      </c>
    </row>
    <row r="25">
      <c r="A25" s="15" t="n">
        <v>45809</v>
      </c>
      <c r="B25" t="inlineStr">
        <is>
          <t>2025-06</t>
        </is>
      </c>
      <c r="C25" s="22" t="n">
        <v>78871.658</v>
      </c>
      <c r="D25" s="42" t="n">
        <v>4462163684.34</v>
      </c>
      <c r="E25" s="36" t="n">
        <v>-62.38</v>
      </c>
      <c r="F25" s="36" t="n">
        <v>-70.62</v>
      </c>
      <c r="G25" s="37">
        <f>AVERAGE(C23:C25)</f>
        <v/>
      </c>
      <c r="H25" s="37">
        <f>AVERAGE(C20:C25)</f>
        <v/>
      </c>
      <c r="M25" t="inlineStr">
        <is>
          <t>Historical</t>
        </is>
      </c>
    </row>
    <row r="26">
      <c r="A26" s="15" t="n">
        <v>45839</v>
      </c>
      <c r="B26" t="inlineStr">
        <is>
          <t>2025-07</t>
        </is>
      </c>
      <c r="C26" s="22" t="n">
        <v>1983.579</v>
      </c>
      <c r="D26" s="42" t="n">
        <v>180167655.605</v>
      </c>
      <c r="E26" s="36" t="n">
        <v>-98.92</v>
      </c>
      <c r="F26" s="36" t="n">
        <v>-98.65000000000001</v>
      </c>
      <c r="G26" s="37">
        <f>AVERAGE(C24:C26)</f>
        <v/>
      </c>
      <c r="H26" s="37">
        <f>AVERAGE(C21:C26)</f>
        <v/>
      </c>
      <c r="L26" s="43" t="n">
        <v>54708.99</v>
      </c>
      <c r="M26" t="inlineStr">
        <is>
          <t>Historical</t>
        </is>
      </c>
    </row>
    <row r="27">
      <c r="A27" s="15" t="n">
        <v>45870</v>
      </c>
      <c r="B27" t="inlineStr">
        <is>
          <t>2025-08</t>
        </is>
      </c>
      <c r="C27" s="22" t="n">
        <v>3491.926</v>
      </c>
      <c r="D27" s="42" t="n">
        <v>315996835.303</v>
      </c>
      <c r="E27" s="36" t="n">
        <v>-98.95</v>
      </c>
      <c r="F27" s="36" t="n">
        <v>-98.68000000000001</v>
      </c>
      <c r="G27" s="37">
        <f>AVERAGE(C25:C27)</f>
        <v/>
      </c>
      <c r="H27" s="37">
        <f>AVERAGE(C22:C27)</f>
        <v/>
      </c>
      <c r="L27" s="43" t="n">
        <v>90968.37</v>
      </c>
      <c r="M27" t="inlineStr">
        <is>
          <t>Historical</t>
        </is>
      </c>
    </row>
    <row r="28">
      <c r="A28" s="15" t="n">
        <v>45901</v>
      </c>
      <c r="B28" t="inlineStr">
        <is>
          <t>2025-09</t>
        </is>
      </c>
      <c r="C28" s="22" t="n">
        <v>207050.569</v>
      </c>
      <c r="D28" s="42" t="n">
        <v>19448765798.541</v>
      </c>
      <c r="E28" s="36" t="n">
        <v>-35.63</v>
      </c>
      <c r="F28" s="36" t="n">
        <v>-21.76</v>
      </c>
      <c r="G28" s="37">
        <f>AVERAGE(C26:C28)</f>
        <v/>
      </c>
      <c r="H28" s="37">
        <f>AVERAGE(C23:C28)</f>
        <v/>
      </c>
      <c r="L28" s="43" t="n">
        <v>5063727.75</v>
      </c>
      <c r="M28" t="inlineStr">
        <is>
          <t>Historical</t>
        </is>
      </c>
    </row>
    <row r="29">
      <c r="A29" s="15" t="n">
        <v>45931</v>
      </c>
      <c r="B29" t="inlineStr">
        <is>
          <t>2025-10</t>
        </is>
      </c>
      <c r="C29" s="22" t="n">
        <v>4352.857</v>
      </c>
      <c r="D29" s="42" t="n">
        <v>390807537.562</v>
      </c>
      <c r="E29" s="36" t="n">
        <v>-98.84</v>
      </c>
      <c r="F29" s="36" t="n">
        <v>-98.73999999999999</v>
      </c>
      <c r="G29" s="37">
        <f>AVERAGE(C27:C29)</f>
        <v/>
      </c>
      <c r="H29" s="37">
        <f>AVERAGE(C24:C29)</f>
        <v/>
      </c>
      <c r="L29" s="43" t="n">
        <v>98138.60000000001</v>
      </c>
      <c r="M29" t="inlineStr">
        <is>
          <t>Historical</t>
        </is>
      </c>
    </row>
    <row r="30">
      <c r="A30" s="15" t="n">
        <v>45962</v>
      </c>
      <c r="B30" t="inlineStr">
        <is>
          <t>2025-11</t>
        </is>
      </c>
      <c r="I30" s="38" t="n">
        <v>329682.81</v>
      </c>
      <c r="J30" s="39" t="n">
        <v>-2258984.55</v>
      </c>
      <c r="K30" s="39" t="n">
        <v>3222700.85</v>
      </c>
      <c r="M30" s="31" t="inlineStr">
        <is>
          <t>Forecast</t>
        </is>
      </c>
    </row>
    <row r="31">
      <c r="A31" s="15" t="n">
        <v>45992</v>
      </c>
      <c r="B31" t="inlineStr">
        <is>
          <t>2025-12</t>
        </is>
      </c>
      <c r="I31" s="38" t="n">
        <v>183751.79</v>
      </c>
      <c r="J31" s="39" t="n">
        <v>-1295263.65</v>
      </c>
      <c r="K31" s="39" t="n">
        <v>1708504.09</v>
      </c>
      <c r="M31" s="31" t="inlineStr">
        <is>
          <t>Forecast</t>
        </is>
      </c>
    </row>
    <row r="32">
      <c r="A32" s="15" t="n">
        <v>46023</v>
      </c>
      <c r="B32" t="inlineStr">
        <is>
          <t>2026-01</t>
        </is>
      </c>
      <c r="I32" s="38" t="n">
        <v>-50361.19</v>
      </c>
      <c r="J32" s="39" t="n">
        <v>-467114.55</v>
      </c>
      <c r="K32" s="39" t="n">
        <v>354124.72</v>
      </c>
      <c r="M32" s="31" t="inlineStr">
        <is>
          <t>Forecast</t>
        </is>
      </c>
    </row>
    <row r="33">
      <c r="A33" s="15" t="n">
        <v>46054</v>
      </c>
      <c r="B33" t="inlineStr">
        <is>
          <t>2026-02</t>
        </is>
      </c>
      <c r="I33" s="38" t="n">
        <v>-59076.74</v>
      </c>
      <c r="J33" s="39" t="n">
        <v>-538849.62</v>
      </c>
      <c r="K33" s="39" t="n">
        <v>453968.14</v>
      </c>
      <c r="M33" s="31" t="inlineStr">
        <is>
          <t>Forecast</t>
        </is>
      </c>
    </row>
    <row r="34">
      <c r="A34" s="15" t="n">
        <v>46082</v>
      </c>
      <c r="B34" t="inlineStr">
        <is>
          <t>2026-03</t>
        </is>
      </c>
      <c r="I34" s="38" t="n">
        <v>-23414.18</v>
      </c>
      <c r="J34" s="39" t="n">
        <v>-233397.76</v>
      </c>
      <c r="K34" s="39" t="n">
        <v>146826.53</v>
      </c>
      <c r="M34" s="31" t="inlineStr">
        <is>
          <t>Forecast</t>
        </is>
      </c>
    </row>
    <row r="35">
      <c r="A35" s="15" t="n">
        <v>46113</v>
      </c>
      <c r="B35" t="inlineStr">
        <is>
          <t>2026-04</t>
        </is>
      </c>
      <c r="I35" s="38" t="n">
        <v>-13490.47</v>
      </c>
      <c r="J35" s="39" t="n">
        <v>-110953.84</v>
      </c>
      <c r="K35" s="39" t="n">
        <v>88850.78</v>
      </c>
      <c r="M35" s="31" t="inlineStr">
        <is>
          <t>Forecast</t>
        </is>
      </c>
    </row>
    <row r="36">
      <c r="A36" s="15" t="n">
        <v>46143</v>
      </c>
      <c r="B36" t="inlineStr">
        <is>
          <t>2026-05</t>
        </is>
      </c>
      <c r="I36" s="38" t="n">
        <v>21342.66</v>
      </c>
      <c r="J36" s="39" t="n">
        <v>-145470.52</v>
      </c>
      <c r="K36" s="39" t="n">
        <v>171251.4</v>
      </c>
      <c r="M36" s="31" t="inlineStr">
        <is>
          <t>Forecast</t>
        </is>
      </c>
    </row>
    <row r="37">
      <c r="A37" s="15" t="n">
        <v>46174</v>
      </c>
      <c r="B37" t="inlineStr">
        <is>
          <t>2026-06</t>
        </is>
      </c>
      <c r="I37" s="38" t="n">
        <v>-161703.89</v>
      </c>
      <c r="J37" s="39" t="n">
        <v>-1465046.38</v>
      </c>
      <c r="K37" s="39" t="n">
        <v>1128388.68</v>
      </c>
      <c r="M37" s="31" t="inlineStr">
        <is>
          <t>Forecast</t>
        </is>
      </c>
    </row>
    <row r="38">
      <c r="A38" s="15" t="n">
        <v>46204</v>
      </c>
      <c r="B38" t="inlineStr">
        <is>
          <t>2026-07</t>
        </is>
      </c>
      <c r="I38" s="38" t="n">
        <v>-183795.91</v>
      </c>
      <c r="J38" s="39" t="n">
        <v>-1680545.75</v>
      </c>
      <c r="K38" s="39" t="n">
        <v>1228952.23</v>
      </c>
      <c r="M38" s="31" t="inlineStr">
        <is>
          <t>Forecast</t>
        </is>
      </c>
    </row>
    <row r="39">
      <c r="A39" s="15" t="n">
        <v>46235</v>
      </c>
      <c r="B39" t="inlineStr">
        <is>
          <t>2026-08</t>
        </is>
      </c>
      <c r="I39" s="38" t="n">
        <v>-14439.6</v>
      </c>
      <c r="J39" s="39" t="n">
        <v>-133082.18</v>
      </c>
      <c r="K39" s="39" t="n">
        <v>106113</v>
      </c>
      <c r="M39" s="31" t="inlineStr">
        <is>
          <t>Forecast</t>
        </is>
      </c>
    </row>
    <row r="40">
      <c r="A40" s="15" t="n">
        <v>46266</v>
      </c>
      <c r="B40" t="inlineStr">
        <is>
          <t>2026-09</t>
        </is>
      </c>
      <c r="I40" s="38" t="n">
        <v>-6324.34</v>
      </c>
      <c r="J40" s="39" t="n">
        <v>-58846.78</v>
      </c>
      <c r="K40" s="39" t="n">
        <v>43581.09</v>
      </c>
      <c r="M40" s="31" t="inlineStr">
        <is>
          <t>Forecast</t>
        </is>
      </c>
    </row>
    <row r="41">
      <c r="A41" s="15" t="n">
        <v>46296</v>
      </c>
      <c r="B41" t="inlineStr">
        <is>
          <t>2026-10</t>
        </is>
      </c>
      <c r="I41" s="38" t="n">
        <v>55892.22</v>
      </c>
      <c r="J41" s="39" t="n">
        <v>-393096.56</v>
      </c>
      <c r="K41" s="39" t="n">
        <v>500818.08</v>
      </c>
      <c r="M41" s="31" t="inlineStr">
        <is>
          <t>Forecast</t>
        </is>
      </c>
    </row>
    <row r="44">
      <c r="A44" s="3" t="inlineStr">
        <is>
          <t>MODEL VALIDATION — 6-month hold-out backtest (H-W (Qty kg))</t>
        </is>
      </c>
    </row>
    <row r="45">
      <c r="A45" s="21" t="inlineStr">
        <is>
          <t>MAE  (Mean Absolute Error)</t>
        </is>
      </c>
      <c r="B45" s="22" t="n">
        <v>99927.56660000001</v>
      </c>
      <c r="C45" s="23" t="inlineStr">
        <is>
          <t>Lower = better</t>
        </is>
      </c>
    </row>
    <row r="46">
      <c r="A46" s="21" t="inlineStr">
        <is>
          <t>RMSE (Root Mean Square Error)</t>
        </is>
      </c>
      <c r="B46" s="22" t="n">
        <v>108055.1487</v>
      </c>
      <c r="C46" s="23" t="inlineStr">
        <is>
          <t>Penalises large misses</t>
        </is>
      </c>
    </row>
    <row r="47">
      <c r="A47" s="21" t="inlineStr">
        <is>
          <t>MAPE (Mean Absolute % Error)</t>
        </is>
      </c>
      <c r="B47" s="24" t="n">
        <v>1770.4381</v>
      </c>
      <c r="C47" s="23" t="inlineStr">
        <is>
          <t>&lt;10% good · &lt;5% excellent</t>
        </is>
      </c>
    </row>
  </sheetData>
  <mergeCells count="2">
    <mergeCell ref="A44:M44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8" customWidth="1" min="9" max="9"/>
    <col width="16" customWidth="1" min="10" max="10"/>
    <col width="16" customWidth="1" min="11" max="11"/>
    <col width="20" customWidth="1" min="12" max="12"/>
    <col width="12" customWidth="1" min="13" max="13"/>
  </cols>
  <sheetData>
    <row r="1">
      <c r="A1" s="12" t="inlineStr">
        <is>
          <t>BRICS Crude Oil Imports — 3-MA · 6-MA · H-W 12-Month · WTI-Deflated</t>
        </is>
      </c>
    </row>
    <row r="5">
      <c r="A5" s="10" t="inlineStr">
        <is>
          <t>Date</t>
        </is>
      </c>
      <c r="B5" s="10" t="inlineStr">
        <is>
          <t>Year-Month</t>
        </is>
      </c>
      <c r="C5" s="10" t="inlineStr">
        <is>
          <t>Qty (kg)</t>
        </is>
      </c>
      <c r="D5" s="10" t="inlineStr">
        <is>
          <t>Value (USD)</t>
        </is>
      </c>
      <c r="E5" s="34" t="inlineStr">
        <is>
          <t>YoY Qty%</t>
        </is>
      </c>
      <c r="F5" s="34" t="inlineStr">
        <is>
          <t>YoY Value%</t>
        </is>
      </c>
      <c r="G5" s="34" t="inlineStr">
        <is>
          <t>3-MA Qty</t>
        </is>
      </c>
      <c r="H5" s="34" t="inlineStr">
        <is>
          <t>6-MA Qty</t>
        </is>
      </c>
      <c r="I5" s="14" t="inlineStr">
        <is>
          <t>H-W Qty Forecast</t>
        </is>
      </c>
      <c r="J5" s="14" t="inlineStr">
        <is>
          <t>H-W Lower 90%</t>
        </is>
      </c>
      <c r="K5" s="14" t="inlineStr">
        <is>
          <t>H-W Upper 90%</t>
        </is>
      </c>
      <c r="L5" s="41" t="inlineStr">
        <is>
          <t>Real Qty (WTI-adj)</t>
        </is>
      </c>
      <c r="M5" s="10" t="inlineStr">
        <is>
          <t>Type</t>
        </is>
      </c>
    </row>
    <row r="6">
      <c r="A6" s="15" t="n">
        <v>45231</v>
      </c>
      <c r="B6" t="inlineStr">
        <is>
          <t>2023-11</t>
        </is>
      </c>
      <c r="C6" s="22" t="n">
        <v>20119825685</v>
      </c>
      <c r="D6" s="42" t="n">
        <v>13082885456.582</v>
      </c>
      <c r="E6" s="36" t="n">
        <v>-70.33</v>
      </c>
      <c r="F6" s="36" t="n">
        <v>-71.76000000000001</v>
      </c>
      <c r="L6" s="43" t="n">
        <v>23492701393</v>
      </c>
      <c r="M6" t="inlineStr">
        <is>
          <t>Historical</t>
        </is>
      </c>
    </row>
    <row r="7">
      <c r="A7" s="15" t="n">
        <v>45261</v>
      </c>
      <c r="B7" t="inlineStr">
        <is>
          <t>2023-12</t>
        </is>
      </c>
      <c r="C7" s="22" t="n">
        <v>69008304895</v>
      </c>
      <c r="D7" s="42" t="n">
        <v>41846187502.802</v>
      </c>
      <c r="E7" s="36" t="n">
        <v>-6.85</v>
      </c>
      <c r="F7" s="36" t="n">
        <v>-9.609999999999999</v>
      </c>
      <c r="L7" s="43" t="n">
        <v>79662524129</v>
      </c>
      <c r="M7" t="inlineStr">
        <is>
          <t>Historical</t>
        </is>
      </c>
    </row>
    <row r="8">
      <c r="A8" s="15" t="n">
        <v>45292</v>
      </c>
      <c r="B8" t="inlineStr">
        <is>
          <t>2024-01</t>
        </is>
      </c>
      <c r="C8" s="22" t="n">
        <v>65131857300</v>
      </c>
      <c r="D8" s="42" t="n">
        <v>38234600381.545</v>
      </c>
      <c r="E8" s="35" t="n">
        <v>0.99</v>
      </c>
      <c r="F8" s="36" t="n">
        <v>-0.5</v>
      </c>
      <c r="G8" s="37">
        <f>AVERAGE(C6:C8)</f>
        <v/>
      </c>
      <c r="L8" s="43" t="n">
        <v>68756751443</v>
      </c>
      <c r="M8" t="inlineStr">
        <is>
          <t>Historical</t>
        </is>
      </c>
    </row>
    <row r="9">
      <c r="A9" s="15" t="n">
        <v>45323</v>
      </c>
      <c r="B9" t="inlineStr">
        <is>
          <t>2024-02</t>
        </is>
      </c>
      <c r="C9" s="22" t="n">
        <v>67402962418</v>
      </c>
      <c r="D9" s="42" t="n">
        <v>39868205786.986</v>
      </c>
      <c r="E9" s="35" t="n">
        <v>3.36</v>
      </c>
      <c r="F9" s="35" t="n">
        <v>4.62</v>
      </c>
      <c r="G9" s="37">
        <f>AVERAGE(C7:C9)</f>
        <v/>
      </c>
      <c r="L9" s="43" t="n">
        <v>69486623063</v>
      </c>
      <c r="M9" t="inlineStr">
        <is>
          <t>Historical</t>
        </is>
      </c>
    </row>
    <row r="10">
      <c r="A10" s="15" t="n">
        <v>45352</v>
      </c>
      <c r="B10" t="inlineStr">
        <is>
          <t>2024-03</t>
        </is>
      </c>
      <c r="C10" s="22" t="n">
        <v>71979711600</v>
      </c>
      <c r="D10" s="42" t="n">
        <v>43443517038.789</v>
      </c>
      <c r="E10" s="36" t="n">
        <v>-7.13</v>
      </c>
      <c r="F10" s="36" t="n">
        <v>-2.97</v>
      </c>
      <c r="G10" s="37">
        <f>AVERAGE(C8:C10)</f>
        <v/>
      </c>
      <c r="L10" s="43" t="n">
        <v>71247996327</v>
      </c>
      <c r="M10" t="inlineStr">
        <is>
          <t>Historical</t>
        </is>
      </c>
    </row>
    <row r="11">
      <c r="A11" s="15" t="n">
        <v>45383</v>
      </c>
      <c r="B11" t="inlineStr">
        <is>
          <t>2024-04</t>
        </is>
      </c>
      <c r="C11" s="22" t="n">
        <v>67931145808</v>
      </c>
      <c r="D11" s="42" t="n">
        <v>42608829678.85</v>
      </c>
      <c r="E11" s="35" t="n">
        <v>9.18</v>
      </c>
      <c r="F11" s="35" t="n">
        <v>19.1</v>
      </c>
      <c r="G11" s="37">
        <f>AVERAGE(C9:C11)</f>
        <v/>
      </c>
      <c r="H11" s="37">
        <f>AVERAGE(C6:C11)</f>
        <v/>
      </c>
      <c r="L11" s="43" t="n">
        <v>70936706293</v>
      </c>
      <c r="M11" t="inlineStr">
        <is>
          <t>Historical</t>
        </is>
      </c>
    </row>
    <row r="12">
      <c r="A12" s="15" t="n">
        <v>45413</v>
      </c>
      <c r="B12" t="inlineStr">
        <is>
          <t>2024-05</t>
        </is>
      </c>
      <c r="C12" s="22" t="n">
        <v>73007717113</v>
      </c>
      <c r="D12" s="42" t="n">
        <v>46060444857.042</v>
      </c>
      <c r="E12" s="36" t="n">
        <v>-1.37</v>
      </c>
      <c r="F12" s="35" t="n">
        <v>7.57</v>
      </c>
      <c r="G12" s="37">
        <f>AVERAGE(C10:C12)</f>
        <v/>
      </c>
      <c r="H12" s="37">
        <f>AVERAGE(C7:C12)</f>
        <v/>
      </c>
      <c r="L12" s="43" t="n">
        <v>81603388139</v>
      </c>
      <c r="M12" t="inlineStr">
        <is>
          <t>Historical</t>
        </is>
      </c>
    </row>
    <row r="13">
      <c r="A13" s="15" t="n">
        <v>45444</v>
      </c>
      <c r="B13" t="inlineStr">
        <is>
          <t>2024-06</t>
        </is>
      </c>
      <c r="C13" s="22" t="n">
        <v>66700542959</v>
      </c>
      <c r="D13" s="42" t="n">
        <v>40867701660.135</v>
      </c>
      <c r="E13" s="36" t="n">
        <v>-7.99</v>
      </c>
      <c r="F13" s="35" t="n">
        <v>5.28</v>
      </c>
      <c r="G13" s="37">
        <f>AVERAGE(C11:C13)</f>
        <v/>
      </c>
      <c r="H13" s="37">
        <f>AVERAGE(C8:C13)</f>
        <v/>
      </c>
      <c r="L13" s="43" t="n">
        <v>68363434435</v>
      </c>
      <c r="M13" t="inlineStr">
        <is>
          <t>Historical</t>
        </is>
      </c>
    </row>
    <row r="14">
      <c r="A14" s="15" t="n">
        <v>45474</v>
      </c>
      <c r="B14" t="inlineStr">
        <is>
          <t>2024-07</t>
        </is>
      </c>
      <c r="C14" s="22" t="n">
        <v>60397931515</v>
      </c>
      <c r="D14" s="42" t="n">
        <v>37108708164.644</v>
      </c>
      <c r="E14" s="35" t="n">
        <v>31.72</v>
      </c>
      <c r="F14" s="35" t="n">
        <v>45.44</v>
      </c>
      <c r="G14" s="37">
        <f>AVERAGE(C12:C14)</f>
        <v/>
      </c>
      <c r="H14" s="37">
        <f>AVERAGE(C9:C14)</f>
        <v/>
      </c>
      <c r="L14" s="43" t="n">
        <v>64967623614</v>
      </c>
      <c r="M14" t="inlineStr">
        <is>
          <t>Historical</t>
        </is>
      </c>
    </row>
    <row r="15">
      <c r="A15" s="15" t="n">
        <v>45505</v>
      </c>
      <c r="B15" t="inlineStr">
        <is>
          <t>2024-08</t>
        </is>
      </c>
      <c r="C15" s="22" t="n">
        <v>62492222746</v>
      </c>
      <c r="D15" s="42" t="n">
        <v>37616508480.361</v>
      </c>
      <c r="E15" s="35" t="n">
        <v>23129.57</v>
      </c>
      <c r="F15" s="35" t="n">
        <v>22392.42</v>
      </c>
      <c r="G15" s="37">
        <f>AVERAGE(C13:C15)</f>
        <v/>
      </c>
      <c r="H15" s="37">
        <f>AVERAGE(C10:C15)</f>
        <v/>
      </c>
      <c r="L15" s="43" t="n">
        <v>69760592030</v>
      </c>
      <c r="M15" t="inlineStr">
        <is>
          <t>Historical</t>
        </is>
      </c>
    </row>
    <row r="16">
      <c r="A16" s="15" t="n">
        <v>45536</v>
      </c>
      <c r="B16" t="inlineStr">
        <is>
          <t>2024-09</t>
        </is>
      </c>
      <c r="C16" s="22" t="n">
        <v>62626383543.934</v>
      </c>
      <c r="D16" s="42" t="n">
        <v>35822335702.452</v>
      </c>
      <c r="E16" s="35" t="n">
        <v>263.23</v>
      </c>
      <c r="F16" s="35" t="n">
        <v>214.93</v>
      </c>
      <c r="G16" s="37">
        <f>AVERAGE(C14:C16)</f>
        <v/>
      </c>
      <c r="H16" s="37">
        <f>AVERAGE(C11:C16)</f>
        <v/>
      </c>
      <c r="M16" t="inlineStr">
        <is>
          <t>Historical</t>
        </is>
      </c>
    </row>
    <row r="17">
      <c r="A17" s="15" t="n">
        <v>45566</v>
      </c>
      <c r="B17" t="inlineStr">
        <is>
          <t>2024-10</t>
        </is>
      </c>
      <c r="C17" s="22" t="n">
        <v>71883390604.705</v>
      </c>
      <c r="D17" s="42" t="n">
        <v>40092428220.239</v>
      </c>
      <c r="E17" s="35" t="n">
        <v>4.2</v>
      </c>
      <c r="F17" s="36" t="n">
        <v>-12.19</v>
      </c>
      <c r="G17" s="37">
        <f>AVERAGE(C15:C17)</f>
        <v/>
      </c>
      <c r="H17" s="37">
        <f>AVERAGE(C12:C17)</f>
        <v/>
      </c>
      <c r="L17" s="43" t="n">
        <v>78957652910</v>
      </c>
      <c r="M17" t="inlineStr">
        <is>
          <t>Historical</t>
        </is>
      </c>
    </row>
    <row r="18">
      <c r="A18" s="15" t="n">
        <v>45597</v>
      </c>
      <c r="B18" t="inlineStr">
        <is>
          <t>2024-11</t>
        </is>
      </c>
      <c r="C18" s="22" t="n">
        <v>72489455792.664</v>
      </c>
      <c r="D18" s="42" t="n">
        <v>39943861281.508</v>
      </c>
      <c r="E18" s="35" t="n">
        <v>260.29</v>
      </c>
      <c r="F18" s="35" t="n">
        <v>205.31</v>
      </c>
      <c r="G18" s="37">
        <f>AVERAGE(C16:C18)</f>
        <v/>
      </c>
      <c r="H18" s="37">
        <f>AVERAGE(C13:C18)</f>
        <v/>
      </c>
      <c r="L18" s="43" t="n">
        <v>80122686453</v>
      </c>
      <c r="M18" t="inlineStr">
        <is>
          <t>Historical</t>
        </is>
      </c>
    </row>
    <row r="19">
      <c r="A19" s="15" t="n">
        <v>45627</v>
      </c>
      <c r="B19" t="inlineStr">
        <is>
          <t>2024-12</t>
        </is>
      </c>
      <c r="C19" s="22" t="n">
        <v>68170002412.547</v>
      </c>
      <c r="D19" s="42" t="n">
        <v>37043944161.499</v>
      </c>
      <c r="E19" s="36" t="n">
        <v>-1.21</v>
      </c>
      <c r="F19" s="36" t="n">
        <v>-11.48</v>
      </c>
      <c r="G19" s="37">
        <f>AVERAGE(C17:C19)</f>
        <v/>
      </c>
      <c r="H19" s="37">
        <f>AVERAGE(C14:C19)</f>
        <v/>
      </c>
      <c r="M19" t="inlineStr">
        <is>
          <t>Historical</t>
        </is>
      </c>
    </row>
    <row r="20">
      <c r="A20" s="15" t="n">
        <v>45658</v>
      </c>
      <c r="B20" t="inlineStr">
        <is>
          <t>2025-01</t>
        </is>
      </c>
      <c r="C20" s="22" t="n">
        <v>20233262194.207</v>
      </c>
      <c r="D20" s="42" t="n">
        <v>11048336041.104</v>
      </c>
      <c r="E20" s="36" t="n">
        <v>-68.93000000000001</v>
      </c>
      <c r="F20" s="36" t="n">
        <v>-71.09999999999999</v>
      </c>
      <c r="G20" s="37">
        <f>AVERAGE(C18:C20)</f>
        <v/>
      </c>
      <c r="H20" s="37">
        <f>AVERAGE(C15:C20)</f>
        <v/>
      </c>
      <c r="L20" s="43" t="n">
        <v>20777513599</v>
      </c>
      <c r="M20" t="inlineStr">
        <is>
          <t>Historical</t>
        </is>
      </c>
    </row>
    <row r="21">
      <c r="A21" s="15" t="n">
        <v>45689</v>
      </c>
      <c r="B21" t="inlineStr">
        <is>
          <t>2025-02</t>
        </is>
      </c>
      <c r="C21" s="22" t="n">
        <v>16639628512.141</v>
      </c>
      <c r="D21" s="42" t="n">
        <v>9637671822.577999</v>
      </c>
      <c r="E21" s="36" t="n">
        <v>-75.31</v>
      </c>
      <c r="F21" s="36" t="n">
        <v>-75.83</v>
      </c>
      <c r="G21" s="37">
        <f>AVERAGE(C19:C21)</f>
        <v/>
      </c>
      <c r="H21" s="37">
        <f>AVERAGE(C16:C21)</f>
        <v/>
      </c>
      <c r="L21" s="43" t="n">
        <v>18844300406</v>
      </c>
      <c r="M21" t="inlineStr">
        <is>
          <t>Historical</t>
        </is>
      </c>
    </row>
    <row r="22">
      <c r="A22" s="15" t="n">
        <v>45717</v>
      </c>
      <c r="B22" t="inlineStr">
        <is>
          <t>2025-03</t>
        </is>
      </c>
      <c r="C22" s="22" t="n">
        <v>28801906734.269</v>
      </c>
      <c r="D22" s="42" t="n">
        <v>15882908700.273</v>
      </c>
      <c r="E22" s="36" t="n">
        <v>-59.99</v>
      </c>
      <c r="F22" s="36" t="n">
        <v>-63.44</v>
      </c>
      <c r="G22" s="37">
        <f>AVERAGE(C20:C22)</f>
        <v/>
      </c>
      <c r="H22" s="37">
        <f>AVERAGE(C17:C22)</f>
        <v/>
      </c>
      <c r="L22" s="43" t="n">
        <v>30308179141</v>
      </c>
      <c r="M22" t="inlineStr">
        <is>
          <t>Historical</t>
        </is>
      </c>
    </row>
    <row r="23">
      <c r="A23" s="15" t="n">
        <v>45748</v>
      </c>
      <c r="B23" t="inlineStr">
        <is>
          <t>2025-04</t>
        </is>
      </c>
      <c r="C23" s="22" t="n">
        <v>30766075958.554</v>
      </c>
      <c r="D23" s="42" t="n">
        <v>17635155944.965</v>
      </c>
      <c r="E23" s="36" t="n">
        <v>-54.71</v>
      </c>
      <c r="F23" s="36" t="n">
        <v>-58.61</v>
      </c>
      <c r="G23" s="37">
        <f>AVERAGE(C21:C23)</f>
        <v/>
      </c>
      <c r="H23" s="37">
        <f>AVERAGE(C18:C23)</f>
        <v/>
      </c>
      <c r="L23" s="43" t="n">
        <v>41323403345</v>
      </c>
      <c r="M23" t="inlineStr">
        <is>
          <t>Historical</t>
        </is>
      </c>
    </row>
    <row r="24">
      <c r="A24" s="15" t="n">
        <v>45778</v>
      </c>
      <c r="B24" t="inlineStr">
        <is>
          <t>2025-05</t>
        </is>
      </c>
      <c r="C24" s="22" t="n">
        <v>24116001795.162</v>
      </c>
      <c r="D24" s="42" t="n">
        <v>12398066817.389</v>
      </c>
      <c r="E24" s="36" t="n">
        <v>-66.97</v>
      </c>
      <c r="F24" s="36" t="n">
        <v>-73.08</v>
      </c>
      <c r="G24" s="37">
        <f>AVERAGE(C22:C24)</f>
        <v/>
      </c>
      <c r="H24" s="37">
        <f>AVERAGE(C19:C24)</f>
        <v/>
      </c>
      <c r="L24" s="43" t="n">
        <v>27818659129</v>
      </c>
      <c r="M24" t="inlineStr">
        <is>
          <t>Historical</t>
        </is>
      </c>
    </row>
    <row r="25">
      <c r="A25" s="15" t="n">
        <v>45809</v>
      </c>
      <c r="B25" t="inlineStr">
        <is>
          <t>2025-06</t>
        </is>
      </c>
      <c r="C25" s="22" t="n">
        <v>22403645262.106</v>
      </c>
      <c r="D25" s="42" t="n">
        <v>11405410410.062</v>
      </c>
      <c r="E25" s="36" t="n">
        <v>-66.41</v>
      </c>
      <c r="F25" s="36" t="n">
        <v>-72.09</v>
      </c>
      <c r="G25" s="37">
        <f>AVERAGE(C23:C25)</f>
        <v/>
      </c>
      <c r="H25" s="37">
        <f>AVERAGE(C20:C25)</f>
        <v/>
      </c>
      <c r="M25" t="inlineStr">
        <is>
          <t>Historical</t>
        </is>
      </c>
    </row>
    <row r="26">
      <c r="A26" s="15" t="n">
        <v>45839</v>
      </c>
      <c r="B26" t="inlineStr">
        <is>
          <t>2025-07</t>
        </is>
      </c>
      <c r="C26" s="22" t="n">
        <v>1666262305.142</v>
      </c>
      <c r="D26" s="42" t="n">
        <v>929753592.702</v>
      </c>
      <c r="E26" s="36" t="n">
        <v>-97.23999999999999</v>
      </c>
      <c r="F26" s="36" t="n">
        <v>-97.48999999999999</v>
      </c>
      <c r="G26" s="37">
        <f>AVERAGE(C24:C26)</f>
        <v/>
      </c>
      <c r="H26" s="37">
        <f>AVERAGE(C21:C26)</f>
        <v/>
      </c>
      <c r="L26" s="43" t="n">
        <v>1831048024</v>
      </c>
      <c r="M26" t="inlineStr">
        <is>
          <t>Historical</t>
        </is>
      </c>
    </row>
    <row r="27">
      <c r="A27" s="15" t="n">
        <v>45870</v>
      </c>
      <c r="B27" t="inlineStr">
        <is>
          <t>2025-08</t>
        </is>
      </c>
      <c r="C27" s="22" t="n">
        <v>1995130774.469</v>
      </c>
      <c r="D27" s="42" t="n">
        <v>1155635672.962</v>
      </c>
      <c r="E27" s="36" t="n">
        <v>-96.81</v>
      </c>
      <c r="F27" s="36" t="n">
        <v>-96.93000000000001</v>
      </c>
      <c r="G27" s="37">
        <f>AVERAGE(C25:C27)</f>
        <v/>
      </c>
      <c r="H27" s="37">
        <f>AVERAGE(C22:C27)</f>
        <v/>
      </c>
      <c r="L27" s="43" t="n">
        <v>2462563670</v>
      </c>
      <c r="M27" t="inlineStr">
        <is>
          <t>Historical</t>
        </is>
      </c>
    </row>
    <row r="28">
      <c r="A28" s="15" t="n">
        <v>45901</v>
      </c>
      <c r="B28" t="inlineStr">
        <is>
          <t>2025-09</t>
        </is>
      </c>
      <c r="C28" s="22" t="n">
        <v>20797062348.887</v>
      </c>
      <c r="D28" s="42" t="n">
        <v>11007323681.6</v>
      </c>
      <c r="E28" s="36" t="n">
        <v>-66.79000000000001</v>
      </c>
      <c r="F28" s="36" t="n">
        <v>-69.27</v>
      </c>
      <c r="G28" s="37">
        <f>AVERAGE(C26:C28)</f>
        <v/>
      </c>
      <c r="H28" s="37">
        <f>AVERAGE(C23:C28)</f>
        <v/>
      </c>
      <c r="L28" s="43" t="n">
        <v>24072454319</v>
      </c>
      <c r="M28" t="inlineStr">
        <is>
          <t>Historical</t>
        </is>
      </c>
    </row>
    <row r="29">
      <c r="A29" s="15" t="n">
        <v>45931</v>
      </c>
      <c r="B29" t="inlineStr">
        <is>
          <t>2025-10</t>
        </is>
      </c>
      <c r="C29" s="22" t="n">
        <v>1890213678.563</v>
      </c>
      <c r="D29" s="42" t="n">
        <v>1023594063.157</v>
      </c>
      <c r="E29" s="36" t="n">
        <v>-97.37</v>
      </c>
      <c r="F29" s="36" t="n">
        <v>-97.45</v>
      </c>
      <c r="G29" s="37">
        <f>AVERAGE(C27:C29)</f>
        <v/>
      </c>
      <c r="H29" s="37">
        <f>AVERAGE(C24:C29)</f>
        <v/>
      </c>
      <c r="L29" s="43" t="n">
        <v>2289574143</v>
      </c>
      <c r="M29" t="inlineStr">
        <is>
          <t>Historical</t>
        </is>
      </c>
    </row>
    <row r="30">
      <c r="A30" s="15" t="n">
        <v>45962</v>
      </c>
      <c r="B30" t="inlineStr">
        <is>
          <t>2025-11</t>
        </is>
      </c>
      <c r="I30" s="38" t="n">
        <v>15860306322.4</v>
      </c>
      <c r="J30" s="39" t="n">
        <v>-19588757238.32</v>
      </c>
      <c r="K30" s="39" t="n">
        <v>53101820683.56</v>
      </c>
      <c r="M30" s="31" t="inlineStr">
        <is>
          <t>Forecast</t>
        </is>
      </c>
    </row>
    <row r="31">
      <c r="A31" s="15" t="n">
        <v>45992</v>
      </c>
      <c r="B31" t="inlineStr">
        <is>
          <t>2025-12</t>
        </is>
      </c>
      <c r="I31" s="38" t="n">
        <v>12295648818.18</v>
      </c>
      <c r="J31" s="39" t="n">
        <v>-15903194632.55</v>
      </c>
      <c r="K31" s="39" t="n">
        <v>52364434953.64</v>
      </c>
      <c r="M31" s="31" t="inlineStr">
        <is>
          <t>Forecast</t>
        </is>
      </c>
    </row>
    <row r="32">
      <c r="A32" s="15" t="n">
        <v>46023</v>
      </c>
      <c r="B32" t="inlineStr">
        <is>
          <t>2026-01</t>
        </is>
      </c>
      <c r="I32" s="38" t="n">
        <v>-34584092991.13</v>
      </c>
      <c r="J32" s="39" t="n">
        <v>-123478474020.48</v>
      </c>
      <c r="K32" s="39" t="n">
        <v>42296053524.71</v>
      </c>
      <c r="M32" s="31" t="inlineStr">
        <is>
          <t>Forecast</t>
        </is>
      </c>
    </row>
    <row r="33">
      <c r="A33" s="15" t="n">
        <v>46054</v>
      </c>
      <c r="B33" t="inlineStr">
        <is>
          <t>2026-02</t>
        </is>
      </c>
      <c r="I33" s="38" t="n">
        <v>-36604420154.11</v>
      </c>
      <c r="J33" s="39" t="n">
        <v>-129904858383.64</v>
      </c>
      <c r="K33" s="39" t="n">
        <v>45835540913.33</v>
      </c>
      <c r="M33" s="31" t="inlineStr">
        <is>
          <t>Forecast</t>
        </is>
      </c>
    </row>
    <row r="34">
      <c r="A34" s="15" t="n">
        <v>46082</v>
      </c>
      <c r="B34" t="inlineStr">
        <is>
          <t>2026-03</t>
        </is>
      </c>
      <c r="I34" s="38" t="n">
        <v>-23595140873.89</v>
      </c>
      <c r="J34" s="39" t="n">
        <v>-107101483795.7</v>
      </c>
      <c r="K34" s="39" t="n">
        <v>34197965438.5</v>
      </c>
      <c r="M34" s="31" t="inlineStr">
        <is>
          <t>Forecast</t>
        </is>
      </c>
    </row>
    <row r="35">
      <c r="A35" s="15" t="n">
        <v>46113</v>
      </c>
      <c r="B35" t="inlineStr">
        <is>
          <t>2026-04</t>
        </is>
      </c>
      <c r="I35" s="38" t="n">
        <v>-20364564625.32</v>
      </c>
      <c r="J35" s="39" t="n">
        <v>-104930107824.31</v>
      </c>
      <c r="K35" s="39" t="n">
        <v>42515131172.92</v>
      </c>
      <c r="M35" s="31" t="inlineStr">
        <is>
          <t>Forecast</t>
        </is>
      </c>
    </row>
    <row r="36">
      <c r="A36" s="15" t="n">
        <v>46143</v>
      </c>
      <c r="B36" t="inlineStr">
        <is>
          <t>2026-05</t>
        </is>
      </c>
      <c r="I36" s="38" t="n">
        <v>-18153375767.23</v>
      </c>
      <c r="J36" s="39" t="n">
        <v>-120417010653.6</v>
      </c>
      <c r="K36" s="39" t="n">
        <v>38083845342.02</v>
      </c>
      <c r="M36" s="31" t="inlineStr">
        <is>
          <t>Forecast</t>
        </is>
      </c>
    </row>
    <row r="37">
      <c r="A37" s="15" t="n">
        <v>46174</v>
      </c>
      <c r="B37" t="inlineStr">
        <is>
          <t>2026-06</t>
        </is>
      </c>
      <c r="I37" s="38" t="n">
        <v>-29909047137.1</v>
      </c>
      <c r="J37" s="39" t="n">
        <v>-169095563242.46</v>
      </c>
      <c r="K37" s="39" t="n">
        <v>43094897618.66</v>
      </c>
      <c r="M37" s="31" t="inlineStr">
        <is>
          <t>Forecast</t>
        </is>
      </c>
    </row>
    <row r="38">
      <c r="A38" s="15" t="n">
        <v>46204</v>
      </c>
      <c r="B38" t="inlineStr">
        <is>
          <t>2026-07</t>
        </is>
      </c>
      <c r="I38" s="38" t="n">
        <v>-37706708078.45</v>
      </c>
      <c r="J38" s="39" t="n">
        <v>-232966233887.89</v>
      </c>
      <c r="K38" s="39" t="n">
        <v>30116044533.81</v>
      </c>
      <c r="M38" s="31" t="inlineStr">
        <is>
          <t>Forecast</t>
        </is>
      </c>
    </row>
    <row r="39">
      <c r="A39" s="15" t="n">
        <v>46235</v>
      </c>
      <c r="B39" t="inlineStr">
        <is>
          <t>2026-08</t>
        </is>
      </c>
      <c r="I39" s="38" t="n">
        <v>-34985832878.26</v>
      </c>
      <c r="J39" s="39" t="n">
        <v>-229610806878.28</v>
      </c>
      <c r="K39" s="39" t="n">
        <v>40189884703.1</v>
      </c>
      <c r="M39" s="31" t="inlineStr">
        <is>
          <t>Forecast</t>
        </is>
      </c>
    </row>
    <row r="40">
      <c r="A40" s="15" t="n">
        <v>46266</v>
      </c>
      <c r="B40" t="inlineStr">
        <is>
          <t>2026-09</t>
        </is>
      </c>
      <c r="I40" s="38" t="n">
        <v>-34233673643.21</v>
      </c>
      <c r="J40" s="39" t="n">
        <v>-219545542557.51</v>
      </c>
      <c r="K40" s="39" t="n">
        <v>28858924682.12</v>
      </c>
      <c r="M40" s="31" t="inlineStr">
        <is>
          <t>Forecast</t>
        </is>
      </c>
    </row>
    <row r="41">
      <c r="A41" s="15" t="n">
        <v>46296</v>
      </c>
      <c r="B41" t="inlineStr">
        <is>
          <t>2026-10</t>
        </is>
      </c>
      <c r="I41" s="38" t="n">
        <v>-25021006916.64</v>
      </c>
      <c r="J41" s="39" t="n">
        <v>-192830235024.1</v>
      </c>
      <c r="K41" s="39" t="n">
        <v>37720289649.49</v>
      </c>
      <c r="M41" s="31" t="inlineStr">
        <is>
          <t>Forecast</t>
        </is>
      </c>
    </row>
    <row r="44">
      <c r="A44" s="3" t="inlineStr">
        <is>
          <t>MODEL VALIDATION — 6-month hold-out backtest (H-W (Qty kg))</t>
        </is>
      </c>
    </row>
    <row r="45">
      <c r="A45" s="21" t="inlineStr">
        <is>
          <t>MAE  (Mean Absolute Error)</t>
        </is>
      </c>
      <c r="B45" s="22" t="n">
        <v>10551892819.9054</v>
      </c>
      <c r="C45" s="23" t="inlineStr">
        <is>
          <t>Lower = better</t>
        </is>
      </c>
    </row>
    <row r="46">
      <c r="A46" s="21" t="inlineStr">
        <is>
          <t>RMSE (Root Mean Square Error)</t>
        </is>
      </c>
      <c r="B46" s="22" t="n">
        <v>12884899077.7343</v>
      </c>
      <c r="C46" s="23" t="inlineStr">
        <is>
          <t>Penalises large misses</t>
        </is>
      </c>
    </row>
    <row r="47">
      <c r="A47" s="21" t="inlineStr">
        <is>
          <t>MAPE (Mean Absolute % Error)</t>
        </is>
      </c>
      <c r="B47" s="24" t="n">
        <v>428.4221</v>
      </c>
      <c r="C47" s="23" t="inlineStr">
        <is>
          <t>&lt;10% good · &lt;5% excellent</t>
        </is>
      </c>
    </row>
  </sheetData>
  <mergeCells count="2">
    <mergeCell ref="A44:M44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2" customWidth="1" min="4" max="4"/>
    <col width="25" customWidth="1" min="5" max="5"/>
    <col width="15" customWidth="1" min="6" max="6"/>
  </cols>
  <sheetData>
    <row r="1">
      <c r="A1" s="12" t="inlineStr">
        <is>
          <t>Vector Autoregression (VAR) — Cross-Indicator Causality &amp; Forecast</t>
        </is>
      </c>
    </row>
    <row r="3">
      <c r="A3" s="13" t="inlineStr">
        <is>
          <t>VAR models all indicators jointly, capturing how shocks in one series propagate to others. Lag order selected by AIC. Series log-differenced for stationarity, then back-transformed.</t>
        </is>
      </c>
    </row>
    <row r="5">
      <c r="A5" s="3" t="inlineStr">
        <is>
          <t>GRANGER CAUSALITY (p-values) — p &lt; 0.05 means significant predictive power</t>
        </is>
      </c>
    </row>
    <row r="6">
      <c r="A6" s="21" t="inlineStr">
        <is>
          <t>Relationship</t>
        </is>
      </c>
      <c r="B6" s="21" t="inlineStr">
        <is>
          <t>p-value</t>
        </is>
      </c>
      <c r="C6" s="21" t="inlineStr">
        <is>
          <t>Significant?</t>
        </is>
      </c>
      <c r="D6" s="21" t="inlineStr">
        <is>
          <t>Interpretation</t>
        </is>
      </c>
    </row>
    <row r="7">
      <c r="A7" t="inlineStr">
        <is>
          <t>BTC_USD_Share_Pct → BRICS_Gold_Qty_kg</t>
        </is>
      </c>
      <c r="B7" s="44" t="n">
        <v>0.0149</v>
      </c>
      <c r="C7" s="45" t="inlineStr">
        <is>
          <t>YES ✓</t>
        </is>
      </c>
      <c r="D7" t="inlineStr">
        <is>
          <t>Granger-causes</t>
        </is>
      </c>
    </row>
    <row r="8">
      <c r="A8" t="inlineStr">
        <is>
          <t>BTC_USD_Share_Pct → DXY</t>
        </is>
      </c>
      <c r="B8" s="46" t="n">
        <v>0.095</v>
      </c>
      <c r="C8" t="inlineStr">
        <is>
          <t>No</t>
        </is>
      </c>
      <c r="D8" t="inlineStr">
        <is>
          <t>No predictive Granger relationship</t>
        </is>
      </c>
    </row>
    <row r="9">
      <c r="A9" t="inlineStr">
        <is>
          <t>DXY → BTC_USD_Share_Pct</t>
        </is>
      </c>
      <c r="B9" s="46" t="n">
        <v>0.1022</v>
      </c>
      <c r="C9" t="inlineStr">
        <is>
          <t>No</t>
        </is>
      </c>
      <c r="D9" t="inlineStr">
        <is>
          <t>No predictive Granger relationship</t>
        </is>
      </c>
    </row>
    <row r="10">
      <c r="A10" t="inlineStr">
        <is>
          <t>BRICS_Oil_Qty_kg → DXY</t>
        </is>
      </c>
      <c r="B10" s="46" t="n">
        <v>0.1892</v>
      </c>
      <c r="C10" t="inlineStr">
        <is>
          <t>No</t>
        </is>
      </c>
      <c r="D10" t="inlineStr">
        <is>
          <t>No predictive Granger relationship</t>
        </is>
      </c>
    </row>
    <row r="11">
      <c r="A11" t="inlineStr">
        <is>
          <t>DXY → BRICS_Gold_Qty_kg</t>
        </is>
      </c>
      <c r="B11" s="46" t="n">
        <v>0.2521</v>
      </c>
      <c r="C11" t="inlineStr">
        <is>
          <t>No</t>
        </is>
      </c>
      <c r="D11" t="inlineStr">
        <is>
          <t>No predictive Granger relationship</t>
        </is>
      </c>
    </row>
    <row r="12">
      <c r="A12" t="inlineStr">
        <is>
          <t>BRICS_Oil_Qty_kg → BRICS_Gold_Qty_kg</t>
        </is>
      </c>
      <c r="B12" s="46" t="n">
        <v>0.3066</v>
      </c>
      <c r="C12" t="inlineStr">
        <is>
          <t>No</t>
        </is>
      </c>
      <c r="D12" t="inlineStr">
        <is>
          <t>No predictive Granger relationship</t>
        </is>
      </c>
    </row>
    <row r="13">
      <c r="A13" t="inlineStr">
        <is>
          <t>DXY → BRICS_Oil_Qty_kg</t>
        </is>
      </c>
      <c r="B13" s="46" t="n">
        <v>0.4269</v>
      </c>
      <c r="C13" t="inlineStr">
        <is>
          <t>No</t>
        </is>
      </c>
      <c r="D13" t="inlineStr">
        <is>
          <t>No predictive Granger relationship</t>
        </is>
      </c>
    </row>
    <row r="14">
      <c r="A14" t="inlineStr">
        <is>
          <t>BRICS_Gold_Qty_kg → DXY</t>
        </is>
      </c>
      <c r="B14" s="46" t="n">
        <v>0.4573</v>
      </c>
      <c r="C14" t="inlineStr">
        <is>
          <t>No</t>
        </is>
      </c>
      <c r="D14" t="inlineStr">
        <is>
          <t>No predictive Granger relationship</t>
        </is>
      </c>
    </row>
    <row r="15">
      <c r="A15" t="inlineStr">
        <is>
          <t>BRICS_Gold_Qty_kg → BTC_USD_Share_Pct</t>
        </is>
      </c>
      <c r="B15" s="46" t="n">
        <v>0.677</v>
      </c>
      <c r="C15" t="inlineStr">
        <is>
          <t>No</t>
        </is>
      </c>
      <c r="D15" t="inlineStr">
        <is>
          <t>No predictive Granger relationship</t>
        </is>
      </c>
    </row>
    <row r="16">
      <c r="A16" t="inlineStr">
        <is>
          <t>BTC_USD_Share_Pct → BRICS_Oil_Qty_kg</t>
        </is>
      </c>
      <c r="B16" s="46" t="n">
        <v>0.7573</v>
      </c>
      <c r="C16" t="inlineStr">
        <is>
          <t>No</t>
        </is>
      </c>
      <c r="D16" t="inlineStr">
        <is>
          <t>No predictive Granger relationship</t>
        </is>
      </c>
    </row>
    <row r="17">
      <c r="A17" t="inlineStr">
        <is>
          <t>BRICS_Gold_Qty_kg → BRICS_Oil_Qty_kg</t>
        </is>
      </c>
      <c r="B17" s="46" t="n">
        <v>0.819</v>
      </c>
      <c r="C17" t="inlineStr">
        <is>
          <t>No</t>
        </is>
      </c>
      <c r="D17" t="inlineStr">
        <is>
          <t>No predictive Granger relationship</t>
        </is>
      </c>
    </row>
    <row r="18">
      <c r="A18" t="inlineStr">
        <is>
          <t>BRICS_Oil_Qty_kg → BTC_USD_Share_Pct</t>
        </is>
      </c>
      <c r="B18" s="46" t="n">
        <v>0.8232</v>
      </c>
      <c r="C18" t="inlineStr">
        <is>
          <t>No</t>
        </is>
      </c>
      <c r="D18" t="inlineStr">
        <is>
          <t>No predictive Granger relationship</t>
        </is>
      </c>
    </row>
    <row r="21">
      <c r="A21" s="3" t="inlineStr">
        <is>
          <t>VAR 12-MONTH FORECAST (back-transformed to original units)</t>
        </is>
      </c>
    </row>
    <row r="22">
      <c r="A22" s="10" t="inlineStr">
        <is>
          <t>Forecast Date</t>
        </is>
      </c>
      <c r="B22" s="10" t="inlineStr">
        <is>
          <t>BTC_USD_Share_Pct</t>
        </is>
      </c>
      <c r="C22" s="10" t="inlineStr">
        <is>
          <t>BRICS_Gold_Qty_kg</t>
        </is>
      </c>
      <c r="D22" s="10" t="inlineStr">
        <is>
          <t>BRICS_Oil_Qty_kg</t>
        </is>
      </c>
      <c r="E22" s="10" t="inlineStr">
        <is>
          <t>DXY</t>
        </is>
      </c>
    </row>
    <row r="23">
      <c r="A23" s="15" t="n">
        <v>45962</v>
      </c>
      <c r="B23" s="39" t="n">
        <v>94.95999999999999</v>
      </c>
      <c r="C23" s="39" t="n">
        <v>201.53</v>
      </c>
      <c r="D23" s="39" t="n">
        <v>401621494.72</v>
      </c>
      <c r="E23" s="39" t="n">
        <v>103.47</v>
      </c>
    </row>
    <row r="24">
      <c r="A24" s="15" t="n">
        <v>45992</v>
      </c>
      <c r="B24" s="39" t="n">
        <v>88.70999999999999</v>
      </c>
      <c r="C24" s="39" t="n">
        <v>18207.64</v>
      </c>
      <c r="D24" s="39" t="n">
        <v>4900277507.26</v>
      </c>
      <c r="E24" s="39" t="n">
        <v>100.43</v>
      </c>
    </row>
    <row r="25">
      <c r="A25" s="15" t="n">
        <v>46023</v>
      </c>
      <c r="B25" s="39" t="n">
        <v>84.44</v>
      </c>
      <c r="C25" s="39" t="n">
        <v>99824.52</v>
      </c>
      <c r="D25" s="39" t="n">
        <v>11189124555.63</v>
      </c>
      <c r="E25" s="39" t="n">
        <v>98.17</v>
      </c>
    </row>
    <row r="26">
      <c r="A26" s="15" t="n">
        <v>46054</v>
      </c>
      <c r="B26" s="39" t="n">
        <v>92.55</v>
      </c>
      <c r="C26" s="39" t="n">
        <v>602.91</v>
      </c>
      <c r="D26" s="39" t="n">
        <v>683120706.17</v>
      </c>
      <c r="E26" s="39" t="n">
        <v>102.46</v>
      </c>
    </row>
    <row r="27">
      <c r="A27" s="15" t="n">
        <v>46082</v>
      </c>
      <c r="B27" s="39" t="n">
        <v>94.93000000000001</v>
      </c>
      <c r="C27" s="39" t="n">
        <v>384.46</v>
      </c>
      <c r="D27" s="39" t="n">
        <v>534768986.74</v>
      </c>
      <c r="E27" s="39" t="n">
        <v>103.66</v>
      </c>
    </row>
    <row r="28">
      <c r="A28" s="15" t="n">
        <v>46113</v>
      </c>
      <c r="B28" s="39" t="n">
        <v>86.62</v>
      </c>
      <c r="C28" s="39" t="n">
        <v>60881.56</v>
      </c>
      <c r="D28" s="39" t="n">
        <v>8212219550.53</v>
      </c>
      <c r="E28" s="39" t="n">
        <v>99.3</v>
      </c>
    </row>
    <row r="29">
      <c r="A29" s="15" t="n">
        <v>46143</v>
      </c>
      <c r="B29" s="39" t="n">
        <v>87.2</v>
      </c>
      <c r="C29" s="39" t="n">
        <v>20088.7</v>
      </c>
      <c r="D29" s="39" t="n">
        <v>4373355754.87</v>
      </c>
      <c r="E29" s="39" t="n">
        <v>99.68000000000001</v>
      </c>
    </row>
    <row r="30">
      <c r="A30" s="15" t="n">
        <v>46174</v>
      </c>
      <c r="B30" s="39" t="n">
        <v>95.90000000000001</v>
      </c>
      <c r="C30" s="39" t="n">
        <v>149.55</v>
      </c>
      <c r="D30" s="39" t="n">
        <v>295954090.29</v>
      </c>
      <c r="E30" s="39" t="n">
        <v>104.22</v>
      </c>
    </row>
    <row r="31">
      <c r="A31" s="15" t="n">
        <v>46204</v>
      </c>
      <c r="B31" s="39" t="n">
        <v>93.34999999999999</v>
      </c>
      <c r="C31" s="39" t="n">
        <v>1500.88</v>
      </c>
      <c r="D31" s="39" t="n">
        <v>1023192912.38</v>
      </c>
      <c r="E31" s="39" t="n">
        <v>102.85</v>
      </c>
    </row>
    <row r="32">
      <c r="A32" s="15" t="n">
        <v>46235</v>
      </c>
      <c r="B32" s="39" t="n">
        <v>86.06</v>
      </c>
      <c r="C32" s="39" t="n">
        <v>89773.59</v>
      </c>
      <c r="D32" s="39" t="n">
        <v>9345081739.98</v>
      </c>
      <c r="E32" s="39" t="n">
        <v>99.04000000000001</v>
      </c>
    </row>
    <row r="33">
      <c r="A33" s="15" t="n">
        <v>46266</v>
      </c>
      <c r="B33" s="39" t="n">
        <v>90.95999999999999</v>
      </c>
      <c r="C33" s="39" t="n">
        <v>2480.45</v>
      </c>
      <c r="D33" s="39" t="n">
        <v>1284353076.44</v>
      </c>
      <c r="E33" s="39" t="n">
        <v>101.71</v>
      </c>
    </row>
    <row r="34">
      <c r="A34" s="15" t="n">
        <v>46296</v>
      </c>
      <c r="B34" s="39" t="n">
        <v>97.73</v>
      </c>
      <c r="C34" s="39" t="n">
        <v>96.95999999999999</v>
      </c>
      <c r="D34" s="39" t="n">
        <v>214485373.23</v>
      </c>
      <c r="E34" s="39" t="n">
        <v>105.14</v>
      </c>
    </row>
    <row r="37">
      <c r="A37" s="21" t="inlineStr">
        <is>
          <t>VAR Methodology Notes:</t>
        </is>
      </c>
    </row>
    <row r="38">
      <c r="A38" t="inlineStr">
        <is>
          <t xml:space="preserve">  - All series log-differenced to achieve stationarity (ADF pre-check implicit)</t>
        </is>
      </c>
    </row>
    <row r="39">
      <c r="A39" t="inlineStr">
        <is>
          <t xml:space="preserve">  - Lag order selected by Akaike Information Criterion (AIC) up to 4 lags</t>
        </is>
      </c>
    </row>
    <row r="40">
      <c r="A40" t="inlineStr">
        <is>
          <t xml:space="preserve">  - Forecast back-transformed: exp(last_log_level + cumsum(log-diff forecasts))</t>
        </is>
      </c>
    </row>
    <row r="41">
      <c r="A41" t="inlineStr">
        <is>
          <t xml:space="preserve">  - Granger p-values from F-test on restricted vs unrestricted VAR</t>
        </is>
      </c>
    </row>
    <row r="42">
      <c r="A42" t="inlineStr">
        <is>
          <t xml:space="preserve">  - Warning: VAR assumes linear relationships and no structural breaks</t>
        </is>
      </c>
    </row>
  </sheetData>
  <mergeCells count="10">
    <mergeCell ref="A38:F38"/>
    <mergeCell ref="A41:F41"/>
    <mergeCell ref="A42:F42"/>
    <mergeCell ref="A1:F1"/>
    <mergeCell ref="A37:F37"/>
    <mergeCell ref="A5:F5"/>
    <mergeCell ref="A40:F40"/>
    <mergeCell ref="A3:F3"/>
    <mergeCell ref="A21:F21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2026-04-16T17:14:50Z</dcterms:created>
  <dcterms:modified xsi:type="dcterms:W3CDTF">2026-04-16T17:14:51Z</dcterms:modified>
</cp:coreProperties>
</file>